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ana061054\Downloads\"/>
    </mc:Choice>
  </mc:AlternateContent>
  <xr:revisionPtr revIDLastSave="0" documentId="8_{3EFADCCB-F357-4A27-B0D0-682AF6B151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kap" sheetId="4" r:id="rId1"/>
    <sheet name="Izin AI - Sunter" sheetId="1" r:id="rId2"/>
    <sheet name="Izin BSD" sheetId="2" r:id="rId3"/>
    <sheet name="Izin Bandung" sheetId="3" r:id="rId4"/>
  </sheets>
  <definedNames>
    <definedName name="_xlnm._FilterDatabase" localSheetId="0" hidden="1">Rekap!$A$5:$R$89</definedName>
    <definedName name="_xlnm.Print_Area" localSheetId="1">'Izin AI - Sunter'!$A$1:$G$34</definedName>
    <definedName name="_xlnm.Print_Area" localSheetId="3">'Izin Bandung'!$A$1:$G$19</definedName>
    <definedName name="_xlnm.Print_Area" localSheetId="2">'Izin BSD'!$A$1:$G$27</definedName>
    <definedName name="_xlnm.Print_Area" localSheetId="0">Rekap!$A$1:$R$85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3" l="1"/>
  <c r="M25" i="2"/>
  <c r="M37" i="1"/>
  <c r="J89" i="4"/>
  <c r="H25" i="2"/>
  <c r="H21" i="3"/>
  <c r="I37" i="1"/>
</calcChain>
</file>

<file path=xl/sharedStrings.xml><?xml version="1.0" encoding="utf-8"?>
<sst xmlns="http://schemas.openxmlformats.org/spreadsheetml/2006/main" count="1743" uniqueCount="296">
  <si>
    <t>DAFTAR PERIZINAN PT.ASTRA INTERNATIONAL TBK</t>
  </si>
  <si>
    <t>AREA GEDUNG AIHO</t>
  </si>
  <si>
    <t>PERIODE</t>
  </si>
  <si>
    <t>HARGA</t>
  </si>
  <si>
    <t>STATUS 
AKTIF/ KEDALUARSA</t>
  </si>
  <si>
    <t>KETERANGAN</t>
  </si>
  <si>
    <t>No</t>
  </si>
  <si>
    <t>AREA</t>
  </si>
  <si>
    <t xml:space="preserve">NAMA </t>
  </si>
  <si>
    <t xml:space="preserve">NO IZIN </t>
  </si>
  <si>
    <t xml:space="preserve">BERLAKU </t>
  </si>
  <si>
    <t>IJIN TERBIT</t>
  </si>
  <si>
    <t>STATUS</t>
  </si>
  <si>
    <t>UJI KEMBALI</t>
  </si>
  <si>
    <t>SO</t>
  </si>
  <si>
    <t>AMDI</t>
  </si>
  <si>
    <t>Izin Lift 1</t>
  </si>
  <si>
    <t>4400/I.PM-LF/09-B/2001</t>
  </si>
  <si>
    <t>Selamanya</t>
  </si>
  <si>
    <t>17 Juni 2025</t>
  </si>
  <si>
    <t>Done</t>
  </si>
  <si>
    <t>Mei 2026</t>
  </si>
  <si>
    <t>1 tahun</t>
  </si>
  <si>
    <t>SO Bulan Feb 2026</t>
  </si>
  <si>
    <t xml:space="preserve"> 20 April 2026 </t>
  </si>
  <si>
    <t xml:space="preserve"> Maret 2027 </t>
  </si>
  <si>
    <t xml:space="preserve"> 1 Tahun </t>
  </si>
  <si>
    <t xml:space="preserve">Uji Riksa 1 Minggu 
Submit Dokumen dan sampai izin keluar 1 Bulan 
SO 3 Bulan sebelum Exp </t>
  </si>
  <si>
    <t>Izin Lift 2</t>
  </si>
  <si>
    <t>4401/I.PM-LF/09-B/2001</t>
  </si>
  <si>
    <t>Izin Lift 3</t>
  </si>
  <si>
    <t>4402/I.PM-LF/09-B/2001</t>
  </si>
  <si>
    <t>Izin Lift 4</t>
  </si>
  <si>
    <t>4403/I.PM-LF/09-B/2001</t>
  </si>
  <si>
    <t>Izin Lift 5</t>
  </si>
  <si>
    <t>5393/I.PM-LF/09-E/98</t>
  </si>
  <si>
    <t>Izin Lift 6</t>
  </si>
  <si>
    <t>5394/I.PM-LF/09-E/98</t>
  </si>
  <si>
    <t>Izin Lift 7</t>
  </si>
  <si>
    <t>5877/I.PM-LF/09-B/2000</t>
  </si>
  <si>
    <t>Izin Lift 8</t>
  </si>
  <si>
    <t>5878/I.PM-LF/09-B/2000</t>
  </si>
  <si>
    <t>Izin genset 1</t>
  </si>
  <si>
    <t>7176/2008</t>
  </si>
  <si>
    <t>16 Oktober 2025</t>
  </si>
  <si>
    <t>September 2026</t>
  </si>
  <si>
    <t>SO Bulan Juli 2026</t>
  </si>
  <si>
    <t> </t>
  </si>
  <si>
    <t>progress</t>
  </si>
  <si>
    <t>Izin genset 2</t>
  </si>
  <si>
    <t>7177/2008</t>
  </si>
  <si>
    <t>Izin genset 3</t>
  </si>
  <si>
    <t>6153/2006</t>
  </si>
  <si>
    <t>Izin genset 4</t>
  </si>
  <si>
    <t>7186/2008</t>
  </si>
  <si>
    <t>Penyalur Petir gedung A/D</t>
  </si>
  <si>
    <t>4389/2006</t>
  </si>
  <si>
    <t>Mei 2027</t>
  </si>
  <si>
    <t>2 tahun</t>
  </si>
  <si>
    <t>SO Bulan Feb 2027</t>
  </si>
  <si>
    <t xml:space="preserve"> Maret 2028</t>
  </si>
  <si>
    <t>Penyalur Petir gedung B/C</t>
  </si>
  <si>
    <t>4390/2006</t>
  </si>
  <si>
    <t>Bejana tekan gedung D</t>
  </si>
  <si>
    <t>7175/2008</t>
  </si>
  <si>
    <t>18 Juni 2025</t>
  </si>
  <si>
    <t>Instalasi listrik</t>
  </si>
  <si>
    <t>4371/2004</t>
  </si>
  <si>
    <t>Proteksi kebakaran Hydrant</t>
  </si>
  <si>
    <t>4372/2004</t>
  </si>
  <si>
    <t>Proteksi kebakaran Fire Alarm</t>
  </si>
  <si>
    <t>4372/2006</t>
  </si>
  <si>
    <t>Sertifikat Keselamatan Kebakaran dari DPK</t>
  </si>
  <si>
    <t>571/-1.784.22</t>
  </si>
  <si>
    <t>10 Juli 2025</t>
  </si>
  <si>
    <t>10 Juli 2026</t>
  </si>
  <si>
    <t>so Bulan April 2026</t>
  </si>
  <si>
    <t>23 Juni 2026</t>
  </si>
  <si>
    <t>Juni 2027</t>
  </si>
  <si>
    <t xml:space="preserve">Uji Riksa 1 minggu 
Submit Dokumen dan sampai izin keluar 1 Bulan 
SO 3 Bulan sebelum Exp </t>
  </si>
  <si>
    <t>Gondola Gedung A - D</t>
  </si>
  <si>
    <t>105/PA-GD/2011</t>
  </si>
  <si>
    <t>106/PA-GD/2011</t>
  </si>
  <si>
    <t>Gondola Gedung B - C</t>
  </si>
  <si>
    <t>107/PA-GD/2011</t>
  </si>
  <si>
    <t>108/PA-GD/2011</t>
  </si>
  <si>
    <t>281/PA-GD/2011</t>
  </si>
  <si>
    <t>Izin Reklame AI HO</t>
  </si>
  <si>
    <t>20/C.35/31.72.02.1004.14.KPI/2/TM.12.07/e/2024</t>
  </si>
  <si>
    <t>Berkala</t>
  </si>
  <si>
    <t>31 Mei 2024</t>
  </si>
  <si>
    <t>Desember 2026</t>
  </si>
  <si>
    <t>SO Bulan Sep 2026</t>
  </si>
  <si>
    <t>SO 3 Bulan sebelum exp
Proses pencarian vendor oleh procurement</t>
  </si>
  <si>
    <t xml:space="preserve">Pajak Reklame </t>
  </si>
  <si>
    <t>SKPD .011711300802092405</t>
  </si>
  <si>
    <t>31 Desember 2025</t>
  </si>
  <si>
    <t>Surat Izin Laik Fungsi (SLF) gedung A&amp;D</t>
  </si>
  <si>
    <t>SK-SLF-317202-27052025-002</t>
  </si>
  <si>
    <t>27 Mei 2025</t>
  </si>
  <si>
    <t>26 Mei  2030</t>
  </si>
  <si>
    <t>5 tahun</t>
  </si>
  <si>
    <t>SO Bulan Des 2029</t>
  </si>
  <si>
    <t>Uji Riksa 1 Bulan 
Submit Dokumen dan sampai izin keluar 5 Bulan 
SO 6 Bulan sebelum exp</t>
  </si>
  <si>
    <t>Surat Izin Laik Fungsi (SLF) gedung B&amp;C</t>
  </si>
  <si>
    <t>SK-SLF-317202-27052025-001</t>
  </si>
  <si>
    <t>IPLC (IZIN PENGOLAHAN LIMBAH CAIR A,B)</t>
  </si>
  <si>
    <t>Berubah menjadi  Ijin Lingkungan (Pertek)</t>
  </si>
  <si>
    <t>LIMBAH B3</t>
  </si>
  <si>
    <t>Berubah menjadi  Ijin Lingkungan (Rintek)</t>
  </si>
  <si>
    <t>SLO Instalasi Listrik 
NIDI : I.10.2023.USR1</t>
  </si>
  <si>
    <t>Nomor Sertifikat : E3B.0.P.DJ.315.3172.23
Nomor Registrai : E3U.0.K23</t>
  </si>
  <si>
    <t>10 Tahun</t>
  </si>
  <si>
    <t>SO Bulan Agst 2032</t>
  </si>
  <si>
    <t xml:space="preserve">Uji Riksa 1 Minggu 
Submit Dokumen dan sampai izin keluar 1 Bulan 
SO 3 Bulan sebelum Exp 
</t>
  </si>
  <si>
    <t>BSD</t>
  </si>
  <si>
    <t xml:space="preserve">Izin Motor Diesel ABC GEDUNG AFFCO BSD </t>
  </si>
  <si>
    <t>566/1626/IL/K3/XI/2019
E/N PR82079R007578A</t>
  </si>
  <si>
    <t>Oktober 2026</t>
  </si>
  <si>
    <t>SO Bulan Agst 2026</t>
  </si>
  <si>
    <t>Uji Riksa 1 Minggu 
Submit Dokumen dan sampai izin keluar 1 Bulan 
SO 3 Bulan sebelum Exp 
Sudah SO dan sudah Uji Riksa oleh PT Citra Media</t>
  </si>
  <si>
    <t>Izin Motor Diesel ABC BSD IT DATA CENTER 2</t>
  </si>
  <si>
    <t>566/5999.01-DTKT/K3/PTP/XI/2025</t>
  </si>
  <si>
    <t>Izin Motor Diesel ABC BSD IT DATA CENTER 1</t>
  </si>
  <si>
    <t>566/1623/IL/K3/XI/2019
E/N JGXF7144U17047X</t>
  </si>
  <si>
    <t>566/1625/IL/K3/XI/2019
E/N PR82079R007580A</t>
  </si>
  <si>
    <t>Izin LIFT PENUMPANG ABC BSD BMW</t>
  </si>
  <si>
    <t>NO:560/0208/DKT/BINWAS/II/2017</t>
  </si>
  <si>
    <t>Izin LIFT PENUMPANG ABC BSD AFFCO 1</t>
  </si>
  <si>
    <t>NO:560/1621/ELEV/K3/XI/2019</t>
  </si>
  <si>
    <t>Izin LIFT PENUMPANG ABC BSD AFFCO 2</t>
  </si>
  <si>
    <t>NO:560/1622/ELEV/K3/XI/2019</t>
  </si>
  <si>
    <t>Izin PETIR ACSET INDONUSA Tbk</t>
  </si>
  <si>
    <t>NO:566/76/IPP/PNK3/2016</t>
  </si>
  <si>
    <t>20 Desember 2024</t>
  </si>
  <si>
    <t xml:space="preserve"> April 2028 </t>
  </si>
  <si>
    <t>NO:566/77/IPP/PNK3/2016</t>
  </si>
  <si>
    <t xml:space="preserve">Uji Riksa 1 Minggu 
Submit Dokumen dan sampai izin keluar 1 Bulan 
SO 3 Bulan sebelum Exp  </t>
  </si>
  <si>
    <t>NO:566/78/IPP/PNK3/2016</t>
  </si>
  <si>
    <t>Izin Instalasi Listrik</t>
  </si>
  <si>
    <t>No. 560/1619/IL/K3/XI/2019</t>
  </si>
  <si>
    <t>November 2025</t>
  </si>
  <si>
    <t>November 2026</t>
  </si>
  <si>
    <t>Izin PROTEKSI KEBAKARAN (Disnaker)</t>
  </si>
  <si>
    <t>NO:560/1620/IPK/XI/2019</t>
  </si>
  <si>
    <t>SKK Kebakaran Dinas BPBD Prov Banten</t>
  </si>
  <si>
    <t>360/270-PBD</t>
  </si>
  <si>
    <t>1 Tahun</t>
  </si>
  <si>
    <t>SO Bulan Juni 2026</t>
  </si>
  <si>
    <t>On Progress</t>
  </si>
  <si>
    <t xml:space="preserve">Surat Ket Bangunan Laik Fungsi Kab Tangerang </t>
  </si>
  <si>
    <t>No:645/04-DPMPTSP/SLF/2017</t>
  </si>
  <si>
    <t>11 Oktober 2022</t>
  </si>
  <si>
    <t>November 2027</t>
  </si>
  <si>
    <t>SO Bulan April 2027</t>
  </si>
  <si>
    <t>6 Juli 2026</t>
  </si>
  <si>
    <t>Juli 2031</t>
  </si>
  <si>
    <t xml:space="preserve">Uji Riksa 1 bulan 
Submit Dokumen dan sampai izin keluar 5 Bulan 
SO 6 Bulan sebelum Exp </t>
  </si>
  <si>
    <t>Ijin Reklame "Astra Biz Center" 1</t>
  </si>
  <si>
    <t>No:026/011-DPMPTSP/PR/2017</t>
  </si>
  <si>
    <t>Desember 2025</t>
  </si>
  <si>
    <t>Cek dan Survey 1 Minggu 
Submit Dokumen dan sampai izin keluar 1 Bulan 
SO 3 Bulan sebelum Exp 
Sudah SO (proses pengumpulan penawaran Vendor )</t>
  </si>
  <si>
    <t>Pajak Reklame "Astra Biz Center" 1</t>
  </si>
  <si>
    <t>Ijin Reklame "Astra Biz Center" 2</t>
  </si>
  <si>
    <t>No:026/012-DPMPTSP/PR/2017</t>
  </si>
  <si>
    <t>Pajak Reklame "Astra Biz Center" 2</t>
  </si>
  <si>
    <t>SLO Listrik Gedung AFFCO</t>
  </si>
  <si>
    <t>B543.0.P.I.422.3603.I24</t>
  </si>
  <si>
    <t>15 Tahun</t>
  </si>
  <si>
    <t>SO Bulan Mei 2039</t>
  </si>
  <si>
    <t xml:space="preserve">Uji Riksa 1 Minggu 
Submit Dokumen dan sampai izin keluar 2 Bulan 
SO 4 Bulan sebelum Exp 
</t>
  </si>
  <si>
    <t>SLO Listrik Kawasan (Infra)</t>
  </si>
  <si>
    <t>B514.0.P.I.422.3603.I24</t>
  </si>
  <si>
    <t xml:space="preserve">Uji Riksa 1 bulan 
Submit Dokumen dan sampai izin keluar 1 Bulan 
SO 4 Bulan sebelum Exp </t>
  </si>
  <si>
    <t>SLO IPAL STP</t>
  </si>
  <si>
    <t>B/600.1.17.2/23-DLHKK</t>
  </si>
  <si>
    <t>30 Oktober 2025</t>
  </si>
  <si>
    <t>Sampai perubahan perundangan</t>
  </si>
  <si>
    <t>IUPTLS PB UMKU (IUPTLS Genset)</t>
  </si>
  <si>
    <t>PB-UMKU: 812021020064300910001
IUPTLS : 500.10.18.1/112-DESDM.IUPTLS/X/2025</t>
  </si>
  <si>
    <t>20 Oktober 2025</t>
  </si>
  <si>
    <t>20 Oktober 2035</t>
  </si>
  <si>
    <t>10 tahun</t>
  </si>
  <si>
    <t>SO Bulan Juli 2035</t>
  </si>
  <si>
    <t>SLO Genset IT 1</t>
  </si>
  <si>
    <t>QCB.0.S.63.307.3603.25</t>
  </si>
  <si>
    <t>SLO Genset IT 2</t>
  </si>
  <si>
    <t>QC8.0.S.63.307.3603.25</t>
  </si>
  <si>
    <t>SLO Genset AFFCO</t>
  </si>
  <si>
    <t>QC6.0.S.63.307.3603.25</t>
  </si>
  <si>
    <t>SLO Genset Infra</t>
  </si>
  <si>
    <t>QC9.0.S.63.307.3603.25</t>
  </si>
  <si>
    <t>BDG</t>
  </si>
  <si>
    <t>Izin Lift  Astra BIZ Center Bandung</t>
  </si>
  <si>
    <t>566/112/LFT-701/2012</t>
  </si>
  <si>
    <t>2 Oktober 2026</t>
  </si>
  <si>
    <t>Uji Riksa 1 Minggu 
Submit Dokumen dan sampai izin keluar 2 Bulan 
SO 4 Bulan sebelum Exp 
Sudah SO dan sudah Uji Riksa oleh PT Citra Media</t>
  </si>
  <si>
    <t>566/113/LFT-702/2012</t>
  </si>
  <si>
    <t>Izin Fire Hydrant  ABC Bandung</t>
  </si>
  <si>
    <t>566/5177/IPK-199/2011</t>
  </si>
  <si>
    <t>Izin Alarm Kebakaran  ABC Bandung</t>
  </si>
  <si>
    <t>566/5178/IPK-200/2011</t>
  </si>
  <si>
    <t>Izin Motor Diesel ABC Bandung</t>
  </si>
  <si>
    <t>566/5179/MD-554/2011</t>
  </si>
  <si>
    <t>Izin Instalasi penyalur Petir ABC Bandung</t>
  </si>
  <si>
    <t>566/5180/IPP-1014/2011</t>
  </si>
  <si>
    <t>03 maret 2025</t>
  </si>
  <si>
    <t>Izin Instalasi Listrik ABC Bandung</t>
  </si>
  <si>
    <t>566/5181/IL-770/2011</t>
  </si>
  <si>
    <t>Izin  Pengambilan Air Bawah Tanah Rotunda</t>
  </si>
  <si>
    <t>546.2/785/10.1.02.0/DPMPTSP/2017</t>
  </si>
  <si>
    <t xml:space="preserve">
Akan terbit November 2025</t>
  </si>
  <si>
    <t>Uji Riksa 1 Minggu 
Submit Dokumen dan sampai izin keluar 2 Bulan 
SO 4 Bulan sebelum Exp 
Sudah SO dan sedang diurus oleh PT Dua Pola Putra</t>
  </si>
  <si>
    <t>Izin  Pengambilan Air Bawah Tanah UD Truck</t>
  </si>
  <si>
    <t>546.2/842/10.1.02.0/DPMPTSP/2017</t>
  </si>
  <si>
    <t>Izin  Pengambilan Air Bawah Tanah Izusu</t>
  </si>
  <si>
    <t>546.2/665/10.1.02.0/DPMPTSP/2017</t>
  </si>
  <si>
    <t>Izin Dinas kebakaran Bandung</t>
  </si>
  <si>
    <t>364.01/515-Diskar</t>
  </si>
  <si>
    <t>Izin Reklame ABC Bandung</t>
  </si>
  <si>
    <t>037/IPR/IV/2016/BPPT</t>
  </si>
  <si>
    <t>September 2025</t>
  </si>
  <si>
    <t>SLO Instalasi  Listrik Tegangan Rendah
(Rotunda)
NIDI : I.01.2024.TLB9</t>
  </si>
  <si>
    <t>Akreditasi Menteri Energi dan Sumber Daya Mineral Nomor 5.Stf/TL.07/DJL.4/2023 Tahun 2023
Nomor Sertifikat : U030.0.P.J.427.3273.A24
Nomor Registrasi : A24JU03021105</t>
  </si>
  <si>
    <t>13 Januari 2024</t>
  </si>
  <si>
    <t>13 Januari 2026</t>
  </si>
  <si>
    <t>15 tahun</t>
  </si>
  <si>
    <t>SO Bulan Juli 2038</t>
  </si>
  <si>
    <t>SLO Instalasi  Listrik Tegangan Rendah
(Infra)
I.01.2024.SGY5</t>
  </si>
  <si>
    <t>Akreditasi Menteri Energi dan Sumber Daya Mineral 
Nomor 5.Stf/TL.07/DJL.4/2023 Tahun 2023
Nomor Sertifikat : S252.0.P.J.427.3201.A24
Nomor Registrasi : A24JS25271504</t>
  </si>
  <si>
    <t>13 Januari 2039</t>
  </si>
  <si>
    <t>SO Bulan Jan 2039</t>
  </si>
  <si>
    <t>SLF Bangunan Kawasan ABC BDG</t>
  </si>
  <si>
    <t>SK-SLF-327311-13072023-001</t>
  </si>
  <si>
    <t>13 Juli 2023</t>
  </si>
  <si>
    <t>12 Juli 2028</t>
  </si>
  <si>
    <t>5 Tahun</t>
  </si>
  <si>
    <t xml:space="preserve">Uji Riksa 1 bulan
Submit Dokumen dan sampai izin keluar 5 Bulan 
SO 6 Bulan sebelum Exp 
</t>
  </si>
  <si>
    <t>Cibitung</t>
  </si>
  <si>
    <t>Izin Ke Hydrant</t>
  </si>
  <si>
    <t>566.10/2169/UPTD-WIL.II/XII/2024</t>
  </si>
  <si>
    <t>20 Desember 2025</t>
  </si>
  <si>
    <t>SO Bulan Oktober 2026</t>
  </si>
  <si>
    <t>Izin K3 Fire Alarm</t>
  </si>
  <si>
    <t>566.10/2168/UPTD-WIL.II/XII/2024</t>
  </si>
  <si>
    <t>Izin K3 Genset</t>
  </si>
  <si>
    <t>566.10/2170/UPTD-WIL.II/XII/2024</t>
  </si>
  <si>
    <t>Cibinong</t>
  </si>
  <si>
    <t>Izin K3 Lift</t>
  </si>
  <si>
    <t>551/TK.04.03.01/PK-WIL.I. BGR</t>
  </si>
  <si>
    <t>08 Januari 2025</t>
  </si>
  <si>
    <t>16 Desember 2026</t>
  </si>
  <si>
    <t>Ex Pako</t>
  </si>
  <si>
    <t>17293/KT.05.0057/XII/2024</t>
  </si>
  <si>
    <t>27 Desember 2025</t>
  </si>
  <si>
    <t>27 Desember 2026</t>
  </si>
  <si>
    <t>SLO Instalasi Listrik
NIDI Instalasi Listrik</t>
  </si>
  <si>
    <t>SLO : KR2.0.P.16.315.3172.25
NIDI : I.08.2025.252028</t>
  </si>
  <si>
    <t>24 September 2025 s.d 24 September 2035 (SLO)
NIDI selamanya</t>
  </si>
  <si>
    <t>Karawang</t>
  </si>
  <si>
    <t>SO Pembuatan Izin Baru</t>
  </si>
  <si>
    <t>Masjid</t>
  </si>
  <si>
    <t>Total biaya 2025 :</t>
  </si>
  <si>
    <t>AREA GEDUNG AI JAKARTA</t>
  </si>
  <si>
    <t>Periode</t>
  </si>
  <si>
    <t>Maret 2027</t>
  </si>
  <si>
    <t>done</t>
  </si>
  <si>
    <t>Progress perpanjangan</t>
  </si>
  <si>
    <t>Maret 2028</t>
  </si>
  <si>
    <t>Juni 2026</t>
  </si>
  <si>
    <t>April 2026</t>
  </si>
  <si>
    <t>SO akan dibuat di bulan Oktober</t>
  </si>
  <si>
    <t>1 Januari 2025</t>
  </si>
  <si>
    <r>
      <rPr>
        <b/>
        <sz val="11"/>
        <color theme="1"/>
        <rFont val="Calibri"/>
        <family val="2"/>
        <scheme val="minor"/>
      </rPr>
      <t xml:space="preserve">Ket </t>
    </r>
    <r>
      <rPr>
        <sz val="11"/>
        <color theme="1"/>
        <rFont val="Calibri"/>
        <family val="2"/>
        <scheme val="minor"/>
      </rPr>
      <t xml:space="preserve">: - Untuk perpanjangan izin - izin pengurusan dilakukan 2 bulan sebelum masa berlakunya habis. </t>
    </r>
  </si>
  <si>
    <t>AREA GEDUNG ABC BSD [BUMI SERPONG DAMAI]</t>
  </si>
  <si>
    <t>Sudah SO dan sudah Uji Riksa oleh PT Citra Media</t>
  </si>
  <si>
    <t>SO Bulan Agustus 2026</t>
  </si>
  <si>
    <t>566/1624/IL/K3/XI/2019
E/N JGXF7144U17017X</t>
  </si>
  <si>
    <t>progress perpanjangan</t>
  </si>
  <si>
    <t>April 2028</t>
  </si>
  <si>
    <t>Desember 2018</t>
  </si>
  <si>
    <t>Desember 2020</t>
  </si>
  <si>
    <t>Sudah SO (proses pengumpulan penawaran Vendor )</t>
  </si>
  <si>
    <t>Desember 2019</t>
  </si>
  <si>
    <t>SLO Listrik Kwasan (Infra)</t>
  </si>
  <si>
    <t>AREA GEDUNG ABC BANDUNG</t>
  </si>
  <si>
    <t>20 Februari 2025</t>
  </si>
  <si>
    <t>10 Februari 2025</t>
  </si>
  <si>
    <t>31 Januari 2025</t>
  </si>
  <si>
    <t>Desember 2021</t>
  </si>
  <si>
    <t>Desember 2022</t>
  </si>
  <si>
    <t>Sudah SO dan sedang diurus oleh PT Dua Pola Putra</t>
  </si>
  <si>
    <t>Desember 2024</t>
  </si>
  <si>
    <t>Sudah SO 02/10/2025</t>
  </si>
  <si>
    <t xml:space="preserve">Sudah done </t>
  </si>
  <si>
    <t>Progress Perpanjangan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</si>
</sst>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21]dd\ mmmm\ yyyy;@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rgb="FF40404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7827C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73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5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7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vertical="center" wrapText="1"/>
    </xf>
    <xf numFmtId="166" fontId="14" fillId="0" borderId="2" xfId="1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/>
    </xf>
    <xf numFmtId="166" fontId="14" fillId="0" borderId="1" xfId="1" applyNumberFormat="1" applyFont="1" applyBorder="1" applyAlignment="1">
      <alignment horizontal="center" vertical="center"/>
    </xf>
    <xf numFmtId="166" fontId="0" fillId="0" borderId="2" xfId="1" applyNumberFormat="1" applyFont="1" applyBorder="1"/>
    <xf numFmtId="166" fontId="9" fillId="0" borderId="2" xfId="0" applyNumberFormat="1" applyFont="1" applyBorder="1" applyAlignment="1">
      <alignment vertical="center"/>
    </xf>
    <xf numFmtId="166" fontId="9" fillId="0" borderId="1" xfId="1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5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vertical="center"/>
    </xf>
    <xf numFmtId="166" fontId="7" fillId="0" borderId="0" xfId="0" applyNumberFormat="1" applyFont="1"/>
    <xf numFmtId="166" fontId="7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49" fontId="0" fillId="0" borderId="2" xfId="0" applyNumberForma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vertical="center"/>
    </xf>
    <xf numFmtId="14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65" fontId="0" fillId="4" borderId="2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0" fontId="0" fillId="4" borderId="2" xfId="0" applyFill="1" applyBorder="1" applyAlignment="1">
      <alignment horizontal="left" wrapText="1"/>
    </xf>
    <xf numFmtId="166" fontId="0" fillId="0" borderId="1" xfId="0" applyNumberForma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0" fontId="16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5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66" fontId="14" fillId="0" borderId="2" xfId="1" applyNumberFormat="1" applyFont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15" fontId="18" fillId="0" borderId="11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7" fontId="0" fillId="0" borderId="2" xfId="0" quotePrefix="1" applyNumberFormat="1" applyBorder="1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0" fillId="0" borderId="16" xfId="0" applyBorder="1" applyAlignment="1">
      <alignment vertical="center" wrapText="1"/>
    </xf>
    <xf numFmtId="0" fontId="0" fillId="13" borderId="2" xfId="0" applyFill="1" applyBorder="1" applyAlignment="1">
      <alignment horizontal="center" vertical="center"/>
    </xf>
    <xf numFmtId="166" fontId="0" fillId="15" borderId="2" xfId="0" applyNumberFormat="1" applyFill="1" applyBorder="1" applyAlignment="1">
      <alignment horizontal="center" vertical="center"/>
    </xf>
    <xf numFmtId="166" fontId="0" fillId="15" borderId="1" xfId="1" applyNumberFormat="1" applyFont="1" applyFill="1" applyBorder="1" applyAlignment="1">
      <alignment horizontal="center" vertical="center"/>
    </xf>
    <xf numFmtId="166" fontId="9" fillId="15" borderId="1" xfId="1" applyNumberFormat="1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166" fontId="0" fillId="16" borderId="2" xfId="0" applyNumberForma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15" borderId="3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66" fontId="9" fillId="1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166" fontId="14" fillId="15" borderId="3" xfId="1" applyNumberFormat="1" applyFont="1" applyFill="1" applyBorder="1" applyAlignment="1">
      <alignment horizontal="center" vertical="center"/>
    </xf>
    <xf numFmtId="166" fontId="14" fillId="15" borderId="1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66" fontId="9" fillId="0" borderId="5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14" borderId="15" xfId="0" applyFont="1" applyFill="1" applyBorder="1" applyAlignment="1">
      <alignment horizontal="center" vertical="top"/>
    </xf>
    <xf numFmtId="0" fontId="2" fillId="14" borderId="12" xfId="0" applyFont="1" applyFill="1" applyBorder="1" applyAlignment="1">
      <alignment horizontal="center" vertical="top"/>
    </xf>
    <xf numFmtId="0" fontId="2" fillId="5" borderId="1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ill>
        <patternFill>
          <bgColor rgb="FF66FF66"/>
        </patternFill>
      </fill>
    </dxf>
    <dxf>
      <fill>
        <patternFill>
          <bgColor rgb="FF66FF66"/>
        </patternFill>
      </fill>
    </dxf>
  </dxfs>
  <tableStyles count="0" defaultTableStyle="TableStyleMedium9" defaultPivotStyle="PivotStyleLight16"/>
  <colors>
    <mruColors>
      <color rgb="FFF7827C"/>
      <color rgb="FFFFFF99"/>
      <color rgb="FF66FF66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2BBE-DDBA-4B92-88B8-117C6D6AB7B5}">
  <sheetPr>
    <tabColor rgb="FF00B0F0"/>
    <pageSetUpPr fitToPage="1"/>
  </sheetPr>
  <dimension ref="A1:R89"/>
  <sheetViews>
    <sheetView tabSelected="1" zoomScale="70" zoomScaleNormal="70" workbookViewId="0">
      <pane xSplit="3" ySplit="5" topLeftCell="J6" activePane="bottomRight" state="frozen"/>
      <selection pane="topRight" activeCell="D1" sqref="D1"/>
      <selection pane="bottomLeft" activeCell="A5" sqref="A5"/>
      <selection pane="bottomRight" activeCell="M74" sqref="M74"/>
    </sheetView>
  </sheetViews>
  <sheetFormatPr defaultRowHeight="14.5" x14ac:dyDescent="0.35"/>
  <cols>
    <col min="1" max="1" width="5.453125" customWidth="1"/>
    <col min="2" max="2" width="10.81640625" customWidth="1"/>
    <col min="3" max="3" width="38.26953125" customWidth="1"/>
    <col min="4" max="4" width="49.26953125" customWidth="1"/>
    <col min="5" max="5" width="17" style="31" bestFit="1" customWidth="1"/>
    <col min="6" max="6" width="21" style="31" customWidth="1"/>
    <col min="7" max="7" width="21.453125" customWidth="1"/>
    <col min="8" max="8" width="23" style="31" customWidth="1"/>
    <col min="9" max="9" width="10.54296875" customWidth="1"/>
    <col min="10" max="10" width="19.453125" customWidth="1"/>
    <col min="11" max="11" width="20.81640625" customWidth="1"/>
    <col min="12" max="13" width="16" customWidth="1"/>
    <col min="14" max="14" width="20.7265625" customWidth="1"/>
    <col min="15" max="15" width="10.54296875" customWidth="1"/>
    <col min="16" max="16" width="16" customWidth="1"/>
    <col min="17" max="17" width="23.26953125" customWidth="1"/>
    <col min="18" max="18" width="46.26953125" customWidth="1"/>
  </cols>
  <sheetData>
    <row r="1" spans="1:18" ht="26" x14ac:dyDescent="0.3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</row>
    <row r="2" spans="1:18" ht="26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1" x14ac:dyDescent="0.35">
      <c r="A3" s="142" t="s">
        <v>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</row>
    <row r="4" spans="1:18" ht="21" x14ac:dyDescent="0.35">
      <c r="A4" s="82"/>
      <c r="B4" s="82"/>
      <c r="C4" s="82"/>
      <c r="D4" s="82"/>
      <c r="E4" s="82"/>
      <c r="F4" s="143">
        <v>2025</v>
      </c>
      <c r="G4" s="144"/>
      <c r="H4" s="145"/>
      <c r="I4" s="146" t="s">
        <v>2</v>
      </c>
      <c r="J4" s="146" t="s">
        <v>3</v>
      </c>
      <c r="K4" s="142">
        <v>2026</v>
      </c>
      <c r="L4" s="142"/>
      <c r="M4" s="142"/>
      <c r="N4" s="142"/>
      <c r="O4" s="146" t="s">
        <v>2</v>
      </c>
      <c r="P4" s="146" t="s">
        <v>3</v>
      </c>
      <c r="Q4" s="148" t="s">
        <v>4</v>
      </c>
      <c r="R4" s="146" t="s">
        <v>5</v>
      </c>
    </row>
    <row r="5" spans="1:18" ht="24" customHeight="1" x14ac:dyDescent="0.35">
      <c r="A5" s="83" t="s">
        <v>6</v>
      </c>
      <c r="B5" s="83" t="s">
        <v>7</v>
      </c>
      <c r="C5" s="83" t="s">
        <v>8</v>
      </c>
      <c r="D5" s="83" t="s">
        <v>9</v>
      </c>
      <c r="E5" s="83" t="s">
        <v>10</v>
      </c>
      <c r="F5" s="83" t="s">
        <v>11</v>
      </c>
      <c r="G5" s="83" t="s">
        <v>12</v>
      </c>
      <c r="H5" s="84" t="s">
        <v>13</v>
      </c>
      <c r="I5" s="147"/>
      <c r="J5" s="147"/>
      <c r="K5" s="85" t="s">
        <v>14</v>
      </c>
      <c r="L5" s="85" t="s">
        <v>11</v>
      </c>
      <c r="M5" s="85" t="s">
        <v>12</v>
      </c>
      <c r="N5" s="86" t="s">
        <v>13</v>
      </c>
      <c r="O5" s="147"/>
      <c r="P5" s="147"/>
      <c r="Q5" s="147"/>
      <c r="R5" s="147"/>
    </row>
    <row r="6" spans="1:18" ht="43.5" customHeight="1" x14ac:dyDescent="0.35">
      <c r="A6" s="9">
        <v>1</v>
      </c>
      <c r="B6" s="9" t="s">
        <v>15</v>
      </c>
      <c r="C6" s="7" t="s">
        <v>16</v>
      </c>
      <c r="D6" s="7" t="s">
        <v>17</v>
      </c>
      <c r="E6" s="62" t="s">
        <v>18</v>
      </c>
      <c r="F6" s="62" t="s">
        <v>19</v>
      </c>
      <c r="G6" s="62" t="s">
        <v>20</v>
      </c>
      <c r="H6" s="62" t="s">
        <v>21</v>
      </c>
      <c r="I6" s="9" t="s">
        <v>22</v>
      </c>
      <c r="J6" s="91">
        <v>2875000</v>
      </c>
      <c r="K6" s="87" t="s">
        <v>23</v>
      </c>
      <c r="L6" s="93" t="s">
        <v>24</v>
      </c>
      <c r="M6" s="112" t="s">
        <v>20</v>
      </c>
      <c r="N6" s="94" t="s">
        <v>25</v>
      </c>
      <c r="O6" s="94" t="s">
        <v>26</v>
      </c>
      <c r="P6" s="91">
        <v>2446875</v>
      </c>
      <c r="Q6" s="39"/>
      <c r="R6" s="70" t="s">
        <v>27</v>
      </c>
    </row>
    <row r="7" spans="1:18" ht="43.5" customHeight="1" x14ac:dyDescent="0.35">
      <c r="A7" s="9">
        <v>2</v>
      </c>
      <c r="B7" s="9" t="s">
        <v>15</v>
      </c>
      <c r="C7" s="7" t="s">
        <v>28</v>
      </c>
      <c r="D7" s="7" t="s">
        <v>29</v>
      </c>
      <c r="E7" s="62" t="s">
        <v>18</v>
      </c>
      <c r="F7" s="62" t="s">
        <v>19</v>
      </c>
      <c r="G7" s="62" t="s">
        <v>20</v>
      </c>
      <c r="H7" s="62" t="s">
        <v>21</v>
      </c>
      <c r="I7" s="9" t="s">
        <v>22</v>
      </c>
      <c r="J7" s="91">
        <v>2875000</v>
      </c>
      <c r="K7" s="87" t="s">
        <v>23</v>
      </c>
      <c r="L7" s="95" t="s">
        <v>24</v>
      </c>
      <c r="M7" s="112" t="s">
        <v>20</v>
      </c>
      <c r="N7" s="96" t="s">
        <v>25</v>
      </c>
      <c r="O7" s="96" t="s">
        <v>26</v>
      </c>
      <c r="P7" s="91">
        <v>2446875</v>
      </c>
      <c r="Q7" s="39"/>
      <c r="R7" s="70" t="s">
        <v>27</v>
      </c>
    </row>
    <row r="8" spans="1:18" ht="43.5" customHeight="1" x14ac:dyDescent="0.35">
      <c r="A8" s="9">
        <v>3</v>
      </c>
      <c r="B8" s="9" t="s">
        <v>15</v>
      </c>
      <c r="C8" s="7" t="s">
        <v>30</v>
      </c>
      <c r="D8" s="7" t="s">
        <v>31</v>
      </c>
      <c r="E8" s="62" t="s">
        <v>18</v>
      </c>
      <c r="F8" s="62" t="s">
        <v>19</v>
      </c>
      <c r="G8" s="62" t="s">
        <v>20</v>
      </c>
      <c r="H8" s="62" t="s">
        <v>21</v>
      </c>
      <c r="I8" s="9" t="s">
        <v>22</v>
      </c>
      <c r="J8" s="91">
        <v>2875000</v>
      </c>
      <c r="K8" s="87" t="s">
        <v>23</v>
      </c>
      <c r="L8" s="95" t="s">
        <v>24</v>
      </c>
      <c r="M8" s="112" t="s">
        <v>20</v>
      </c>
      <c r="N8" s="96" t="s">
        <v>25</v>
      </c>
      <c r="O8" s="96" t="s">
        <v>26</v>
      </c>
      <c r="P8" s="91">
        <v>2446875</v>
      </c>
      <c r="Q8" s="39"/>
      <c r="R8" s="70" t="s">
        <v>27</v>
      </c>
    </row>
    <row r="9" spans="1:18" ht="43.5" customHeight="1" x14ac:dyDescent="0.35">
      <c r="A9" s="9">
        <v>4</v>
      </c>
      <c r="B9" s="9" t="s">
        <v>15</v>
      </c>
      <c r="C9" s="7" t="s">
        <v>32</v>
      </c>
      <c r="D9" s="7" t="s">
        <v>33</v>
      </c>
      <c r="E9" s="62" t="s">
        <v>18</v>
      </c>
      <c r="F9" s="62" t="s">
        <v>19</v>
      </c>
      <c r="G9" s="62" t="s">
        <v>20</v>
      </c>
      <c r="H9" s="62" t="s">
        <v>21</v>
      </c>
      <c r="I9" s="9" t="s">
        <v>22</v>
      </c>
      <c r="J9" s="91">
        <v>2875000</v>
      </c>
      <c r="K9" s="87" t="s">
        <v>23</v>
      </c>
      <c r="L9" s="95" t="s">
        <v>24</v>
      </c>
      <c r="M9" s="112" t="s">
        <v>20</v>
      </c>
      <c r="N9" s="96" t="s">
        <v>25</v>
      </c>
      <c r="O9" s="96" t="s">
        <v>26</v>
      </c>
      <c r="P9" s="91">
        <v>2446875</v>
      </c>
      <c r="Q9" s="39"/>
      <c r="R9" s="70" t="s">
        <v>27</v>
      </c>
    </row>
    <row r="10" spans="1:18" ht="43.5" customHeight="1" x14ac:dyDescent="0.35">
      <c r="A10" s="9">
        <v>5</v>
      </c>
      <c r="B10" s="9" t="s">
        <v>15</v>
      </c>
      <c r="C10" s="7" t="s">
        <v>34</v>
      </c>
      <c r="D10" s="7" t="s">
        <v>35</v>
      </c>
      <c r="E10" s="62" t="s">
        <v>18</v>
      </c>
      <c r="F10" s="62" t="s">
        <v>19</v>
      </c>
      <c r="G10" s="62" t="s">
        <v>20</v>
      </c>
      <c r="H10" s="62" t="s">
        <v>21</v>
      </c>
      <c r="I10" s="9" t="s">
        <v>22</v>
      </c>
      <c r="J10" s="91">
        <v>2875000</v>
      </c>
      <c r="K10" s="87" t="s">
        <v>23</v>
      </c>
      <c r="L10" s="95" t="s">
        <v>24</v>
      </c>
      <c r="M10" s="112" t="s">
        <v>20</v>
      </c>
      <c r="N10" s="96" t="s">
        <v>25</v>
      </c>
      <c r="O10" s="96" t="s">
        <v>26</v>
      </c>
      <c r="P10" s="91">
        <v>2446875</v>
      </c>
      <c r="Q10" s="39"/>
      <c r="R10" s="70" t="s">
        <v>27</v>
      </c>
    </row>
    <row r="11" spans="1:18" ht="43.5" customHeight="1" x14ac:dyDescent="0.35">
      <c r="A11" s="9">
        <v>6</v>
      </c>
      <c r="B11" s="9" t="s">
        <v>15</v>
      </c>
      <c r="C11" s="7" t="s">
        <v>36</v>
      </c>
      <c r="D11" s="7" t="s">
        <v>37</v>
      </c>
      <c r="E11" s="62" t="s">
        <v>18</v>
      </c>
      <c r="F11" s="62" t="s">
        <v>19</v>
      </c>
      <c r="G11" s="62" t="s">
        <v>20</v>
      </c>
      <c r="H11" s="62" t="s">
        <v>21</v>
      </c>
      <c r="I11" s="9" t="s">
        <v>22</v>
      </c>
      <c r="J11" s="91">
        <v>2875000</v>
      </c>
      <c r="K11" s="87" t="s">
        <v>23</v>
      </c>
      <c r="L11" s="95" t="s">
        <v>24</v>
      </c>
      <c r="M11" s="112" t="s">
        <v>20</v>
      </c>
      <c r="N11" s="96" t="s">
        <v>25</v>
      </c>
      <c r="O11" s="96" t="s">
        <v>26</v>
      </c>
      <c r="P11" s="91">
        <v>2446875</v>
      </c>
      <c r="Q11" s="39"/>
      <c r="R11" s="70" t="s">
        <v>27</v>
      </c>
    </row>
    <row r="12" spans="1:18" ht="43.5" customHeight="1" x14ac:dyDescent="0.35">
      <c r="A12" s="9">
        <v>7</v>
      </c>
      <c r="B12" s="9" t="s">
        <v>15</v>
      </c>
      <c r="C12" s="7" t="s">
        <v>38</v>
      </c>
      <c r="D12" s="7" t="s">
        <v>39</v>
      </c>
      <c r="E12" s="62" t="s">
        <v>18</v>
      </c>
      <c r="F12" s="62" t="s">
        <v>19</v>
      </c>
      <c r="G12" s="62" t="s">
        <v>20</v>
      </c>
      <c r="H12" s="62" t="s">
        <v>21</v>
      </c>
      <c r="I12" s="9" t="s">
        <v>22</v>
      </c>
      <c r="J12" s="91">
        <v>2875000</v>
      </c>
      <c r="K12" s="87" t="s">
        <v>23</v>
      </c>
      <c r="L12" s="95" t="s">
        <v>24</v>
      </c>
      <c r="M12" s="112" t="s">
        <v>20</v>
      </c>
      <c r="N12" s="96" t="s">
        <v>25</v>
      </c>
      <c r="O12" s="96" t="s">
        <v>26</v>
      </c>
      <c r="P12" s="91">
        <v>2446875</v>
      </c>
      <c r="Q12" s="39"/>
      <c r="R12" s="70" t="s">
        <v>27</v>
      </c>
    </row>
    <row r="13" spans="1:18" ht="43.5" customHeight="1" x14ac:dyDescent="0.35">
      <c r="A13" s="9">
        <v>8</v>
      </c>
      <c r="B13" s="9" t="s">
        <v>15</v>
      </c>
      <c r="C13" s="7" t="s">
        <v>40</v>
      </c>
      <c r="D13" s="7" t="s">
        <v>41</v>
      </c>
      <c r="E13" s="62" t="s">
        <v>18</v>
      </c>
      <c r="F13" s="62" t="s">
        <v>19</v>
      </c>
      <c r="G13" s="62" t="s">
        <v>20</v>
      </c>
      <c r="H13" s="62" t="s">
        <v>21</v>
      </c>
      <c r="I13" s="9" t="s">
        <v>22</v>
      </c>
      <c r="J13" s="91">
        <v>2875000</v>
      </c>
      <c r="K13" s="87" t="s">
        <v>23</v>
      </c>
      <c r="L13" s="95" t="s">
        <v>24</v>
      </c>
      <c r="M13" s="112" t="s">
        <v>20</v>
      </c>
      <c r="N13" s="96" t="s">
        <v>25</v>
      </c>
      <c r="O13" s="96" t="s">
        <v>26</v>
      </c>
      <c r="P13" s="91">
        <v>2446875</v>
      </c>
      <c r="Q13" s="39"/>
      <c r="R13" s="70" t="s">
        <v>27</v>
      </c>
    </row>
    <row r="14" spans="1:18" ht="43.5" customHeight="1" x14ac:dyDescent="0.35">
      <c r="A14" s="9">
        <v>9</v>
      </c>
      <c r="B14" s="9" t="s">
        <v>15</v>
      </c>
      <c r="C14" s="7" t="s">
        <v>42</v>
      </c>
      <c r="D14" s="7" t="s">
        <v>43</v>
      </c>
      <c r="E14" s="62" t="s">
        <v>18</v>
      </c>
      <c r="F14" s="62" t="s">
        <v>44</v>
      </c>
      <c r="G14" s="62" t="s">
        <v>20</v>
      </c>
      <c r="H14" s="62" t="s">
        <v>45</v>
      </c>
      <c r="I14" s="9" t="s">
        <v>22</v>
      </c>
      <c r="J14" s="91"/>
      <c r="K14" s="89" t="s">
        <v>46</v>
      </c>
      <c r="L14" s="95" t="s">
        <v>47</v>
      </c>
      <c r="M14" s="97" t="s">
        <v>48</v>
      </c>
      <c r="N14" s="96" t="s">
        <v>47</v>
      </c>
      <c r="O14" s="96" t="s">
        <v>26</v>
      </c>
      <c r="P14" s="111">
        <v>2225000</v>
      </c>
      <c r="Q14" s="39"/>
      <c r="R14" s="70" t="s">
        <v>27</v>
      </c>
    </row>
    <row r="15" spans="1:18" ht="43.5" customHeight="1" x14ac:dyDescent="0.35">
      <c r="A15" s="9">
        <v>10</v>
      </c>
      <c r="B15" s="9" t="s">
        <v>15</v>
      </c>
      <c r="C15" s="7" t="s">
        <v>49</v>
      </c>
      <c r="D15" s="7" t="s">
        <v>50</v>
      </c>
      <c r="E15" s="62" t="s">
        <v>18</v>
      </c>
      <c r="F15" s="62" t="s">
        <v>44</v>
      </c>
      <c r="G15" s="62" t="s">
        <v>20</v>
      </c>
      <c r="H15" s="62" t="s">
        <v>45</v>
      </c>
      <c r="I15" s="9" t="s">
        <v>22</v>
      </c>
      <c r="J15" s="91"/>
      <c r="K15" s="89" t="s">
        <v>46</v>
      </c>
      <c r="L15" s="95" t="s">
        <v>47</v>
      </c>
      <c r="M15" s="97" t="s">
        <v>48</v>
      </c>
      <c r="N15" s="96" t="s">
        <v>47</v>
      </c>
      <c r="O15" s="96" t="s">
        <v>26</v>
      </c>
      <c r="P15" s="111">
        <v>2225000</v>
      </c>
      <c r="Q15" s="39"/>
      <c r="R15" s="70" t="s">
        <v>27</v>
      </c>
    </row>
    <row r="16" spans="1:18" ht="43.5" customHeight="1" x14ac:dyDescent="0.35">
      <c r="A16" s="9">
        <v>11</v>
      </c>
      <c r="B16" s="9" t="s">
        <v>15</v>
      </c>
      <c r="C16" s="7" t="s">
        <v>51</v>
      </c>
      <c r="D16" s="7" t="s">
        <v>52</v>
      </c>
      <c r="E16" s="62" t="s">
        <v>18</v>
      </c>
      <c r="F16" s="62" t="s">
        <v>44</v>
      </c>
      <c r="G16" s="62" t="s">
        <v>20</v>
      </c>
      <c r="H16" s="62" t="s">
        <v>45</v>
      </c>
      <c r="I16" s="9" t="s">
        <v>22</v>
      </c>
      <c r="J16" s="91"/>
      <c r="K16" s="89" t="s">
        <v>46</v>
      </c>
      <c r="L16" s="95" t="s">
        <v>47</v>
      </c>
      <c r="M16" s="97" t="s">
        <v>48</v>
      </c>
      <c r="N16" s="96" t="s">
        <v>47</v>
      </c>
      <c r="O16" s="96" t="s">
        <v>26</v>
      </c>
      <c r="P16" s="111">
        <v>2225000</v>
      </c>
      <c r="Q16" s="39"/>
      <c r="R16" s="70" t="s">
        <v>27</v>
      </c>
    </row>
    <row r="17" spans="1:18" ht="43.5" customHeight="1" x14ac:dyDescent="0.35">
      <c r="A17" s="9">
        <v>12</v>
      </c>
      <c r="B17" s="9" t="s">
        <v>15</v>
      </c>
      <c r="C17" s="7" t="s">
        <v>53</v>
      </c>
      <c r="D17" s="7" t="s">
        <v>54</v>
      </c>
      <c r="E17" s="62" t="s">
        <v>18</v>
      </c>
      <c r="F17" s="62" t="s">
        <v>44</v>
      </c>
      <c r="G17" s="62" t="s">
        <v>20</v>
      </c>
      <c r="H17" s="62" t="s">
        <v>45</v>
      </c>
      <c r="I17" s="9" t="s">
        <v>22</v>
      </c>
      <c r="J17" s="91"/>
      <c r="K17" s="89" t="s">
        <v>46</v>
      </c>
      <c r="L17" s="95" t="s">
        <v>47</v>
      </c>
      <c r="M17" s="97" t="s">
        <v>48</v>
      </c>
      <c r="N17" s="96" t="s">
        <v>47</v>
      </c>
      <c r="O17" s="96" t="s">
        <v>26</v>
      </c>
      <c r="P17" s="111">
        <v>2225000</v>
      </c>
      <c r="Q17" s="39"/>
      <c r="R17" s="70" t="s">
        <v>27</v>
      </c>
    </row>
    <row r="18" spans="1:18" ht="43.5" customHeight="1" x14ac:dyDescent="0.35">
      <c r="A18" s="9">
        <v>13</v>
      </c>
      <c r="B18" s="9" t="s">
        <v>15</v>
      </c>
      <c r="C18" s="20" t="s">
        <v>55</v>
      </c>
      <c r="D18" s="20" t="s">
        <v>56</v>
      </c>
      <c r="E18" s="62" t="s">
        <v>18</v>
      </c>
      <c r="F18" s="62" t="s">
        <v>19</v>
      </c>
      <c r="G18" s="62" t="s">
        <v>20</v>
      </c>
      <c r="H18" s="62" t="s">
        <v>57</v>
      </c>
      <c r="I18" s="9" t="s">
        <v>58</v>
      </c>
      <c r="J18" s="91">
        <v>2500000</v>
      </c>
      <c r="K18" s="87" t="s">
        <v>59</v>
      </c>
      <c r="L18" s="95" t="s">
        <v>24</v>
      </c>
      <c r="M18" s="112" t="s">
        <v>20</v>
      </c>
      <c r="N18" s="96" t="s">
        <v>60</v>
      </c>
      <c r="O18" s="97" t="s">
        <v>58</v>
      </c>
      <c r="P18" s="91">
        <v>2500000</v>
      </c>
      <c r="Q18" s="39"/>
      <c r="R18" s="70" t="s">
        <v>27</v>
      </c>
    </row>
    <row r="19" spans="1:18" ht="43.5" customHeight="1" x14ac:dyDescent="0.35">
      <c r="A19" s="9">
        <v>14</v>
      </c>
      <c r="B19" s="9" t="s">
        <v>15</v>
      </c>
      <c r="C19" s="20" t="s">
        <v>61</v>
      </c>
      <c r="D19" s="20" t="s">
        <v>62</v>
      </c>
      <c r="E19" s="62" t="s">
        <v>18</v>
      </c>
      <c r="F19" s="62" t="s">
        <v>19</v>
      </c>
      <c r="G19" s="62" t="s">
        <v>20</v>
      </c>
      <c r="H19" s="62" t="s">
        <v>57</v>
      </c>
      <c r="I19" s="9" t="s">
        <v>58</v>
      </c>
      <c r="J19" s="91">
        <v>2500000</v>
      </c>
      <c r="K19" s="87" t="s">
        <v>59</v>
      </c>
      <c r="L19" s="95" t="s">
        <v>24</v>
      </c>
      <c r="M19" s="112" t="s">
        <v>20</v>
      </c>
      <c r="N19" s="96" t="s">
        <v>60</v>
      </c>
      <c r="O19" s="97" t="s">
        <v>58</v>
      </c>
      <c r="P19" s="91">
        <v>2500000</v>
      </c>
      <c r="Q19" s="39"/>
      <c r="R19" s="70" t="s">
        <v>27</v>
      </c>
    </row>
    <row r="20" spans="1:18" ht="43.5" customHeight="1" x14ac:dyDescent="0.35">
      <c r="A20" s="9">
        <v>15</v>
      </c>
      <c r="B20" s="9" t="s">
        <v>15</v>
      </c>
      <c r="C20" s="7" t="s">
        <v>63</v>
      </c>
      <c r="D20" s="7" t="s">
        <v>64</v>
      </c>
      <c r="E20" s="62" t="s">
        <v>18</v>
      </c>
      <c r="F20" s="62" t="s">
        <v>65</v>
      </c>
      <c r="G20" s="62" t="s">
        <v>20</v>
      </c>
      <c r="H20" s="62" t="s">
        <v>21</v>
      </c>
      <c r="I20" s="9" t="s">
        <v>22</v>
      </c>
      <c r="J20" s="91">
        <v>2875000</v>
      </c>
      <c r="K20" s="87" t="s">
        <v>23</v>
      </c>
      <c r="L20" s="95" t="s">
        <v>24</v>
      </c>
      <c r="M20" s="112" t="s">
        <v>20</v>
      </c>
      <c r="N20" s="96" t="s">
        <v>25</v>
      </c>
      <c r="O20" s="96" t="s">
        <v>26</v>
      </c>
      <c r="P20" s="91">
        <v>2875000</v>
      </c>
      <c r="Q20" s="39"/>
      <c r="R20" s="70" t="s">
        <v>27</v>
      </c>
    </row>
    <row r="21" spans="1:18" ht="43.5" customHeight="1" x14ac:dyDescent="0.35">
      <c r="A21" s="9">
        <v>16</v>
      </c>
      <c r="B21" s="9" t="s">
        <v>15</v>
      </c>
      <c r="C21" s="7" t="s">
        <v>66</v>
      </c>
      <c r="D21" s="7" t="s">
        <v>67</v>
      </c>
      <c r="E21" s="62" t="s">
        <v>18</v>
      </c>
      <c r="F21" s="62" t="s">
        <v>19</v>
      </c>
      <c r="G21" s="62" t="s">
        <v>20</v>
      </c>
      <c r="H21" s="62" t="s">
        <v>21</v>
      </c>
      <c r="I21" s="9" t="s">
        <v>22</v>
      </c>
      <c r="J21" s="91">
        <v>3250000</v>
      </c>
      <c r="K21" s="87" t="s">
        <v>23</v>
      </c>
      <c r="L21" s="95" t="s">
        <v>24</v>
      </c>
      <c r="M21" s="112" t="s">
        <v>20</v>
      </c>
      <c r="N21" s="96" t="s">
        <v>25</v>
      </c>
      <c r="O21" s="96" t="s">
        <v>26</v>
      </c>
      <c r="P21" s="91">
        <v>3250000</v>
      </c>
      <c r="Q21" s="39"/>
      <c r="R21" s="70" t="s">
        <v>27</v>
      </c>
    </row>
    <row r="22" spans="1:18" ht="43.5" customHeight="1" x14ac:dyDescent="0.35">
      <c r="A22" s="9">
        <v>17</v>
      </c>
      <c r="B22" s="9" t="s">
        <v>15</v>
      </c>
      <c r="C22" s="7" t="s">
        <v>68</v>
      </c>
      <c r="D22" s="7" t="s">
        <v>69</v>
      </c>
      <c r="E22" s="62" t="s">
        <v>18</v>
      </c>
      <c r="F22" s="62" t="s">
        <v>19</v>
      </c>
      <c r="G22" s="62" t="s">
        <v>20</v>
      </c>
      <c r="H22" s="62" t="s">
        <v>21</v>
      </c>
      <c r="I22" s="9" t="s">
        <v>22</v>
      </c>
      <c r="J22" s="91">
        <v>3875000</v>
      </c>
      <c r="K22" s="87" t="s">
        <v>23</v>
      </c>
      <c r="L22" s="95" t="s">
        <v>24</v>
      </c>
      <c r="M22" s="112" t="s">
        <v>20</v>
      </c>
      <c r="N22" s="96" t="s">
        <v>25</v>
      </c>
      <c r="O22" s="96" t="s">
        <v>26</v>
      </c>
      <c r="P22" s="91">
        <v>3650000</v>
      </c>
      <c r="Q22" s="39"/>
      <c r="R22" s="70" t="s">
        <v>27</v>
      </c>
    </row>
    <row r="23" spans="1:18" ht="43.5" customHeight="1" x14ac:dyDescent="0.35">
      <c r="A23" s="9">
        <v>18</v>
      </c>
      <c r="B23" s="9" t="s">
        <v>15</v>
      </c>
      <c r="C23" s="7" t="s">
        <v>70</v>
      </c>
      <c r="D23" s="7" t="s">
        <v>71</v>
      </c>
      <c r="E23" s="62" t="s">
        <v>18</v>
      </c>
      <c r="F23" s="62" t="s">
        <v>19</v>
      </c>
      <c r="G23" s="62" t="s">
        <v>20</v>
      </c>
      <c r="H23" s="62" t="s">
        <v>21</v>
      </c>
      <c r="I23" s="9" t="s">
        <v>22</v>
      </c>
      <c r="J23" s="91">
        <v>3875000</v>
      </c>
      <c r="K23" s="87" t="s">
        <v>23</v>
      </c>
      <c r="L23" s="95" t="s">
        <v>24</v>
      </c>
      <c r="M23" s="112" t="s">
        <v>20</v>
      </c>
      <c r="N23" s="96" t="s">
        <v>25</v>
      </c>
      <c r="O23" s="96" t="s">
        <v>26</v>
      </c>
      <c r="P23" s="91">
        <v>3650000</v>
      </c>
      <c r="Q23" s="39"/>
      <c r="R23" s="70" t="s">
        <v>27</v>
      </c>
    </row>
    <row r="24" spans="1:18" ht="43.5" customHeight="1" x14ac:dyDescent="0.35">
      <c r="A24" s="9">
        <v>19</v>
      </c>
      <c r="B24" s="9" t="s">
        <v>15</v>
      </c>
      <c r="C24" s="13" t="s">
        <v>72</v>
      </c>
      <c r="D24" s="7" t="s">
        <v>73</v>
      </c>
      <c r="E24" s="62" t="s">
        <v>18</v>
      </c>
      <c r="F24" s="62" t="s">
        <v>74</v>
      </c>
      <c r="G24" s="62" t="s">
        <v>20</v>
      </c>
      <c r="H24" s="62" t="s">
        <v>75</v>
      </c>
      <c r="I24" s="9" t="s">
        <v>22</v>
      </c>
      <c r="J24" s="64">
        <v>67500000</v>
      </c>
      <c r="K24" s="92" t="s">
        <v>76</v>
      </c>
      <c r="L24" s="95" t="s">
        <v>77</v>
      </c>
      <c r="M24" s="113" t="s">
        <v>20</v>
      </c>
      <c r="N24" s="96" t="s">
        <v>78</v>
      </c>
      <c r="O24" s="96" t="s">
        <v>26</v>
      </c>
      <c r="P24" s="64">
        <v>67500000</v>
      </c>
      <c r="Q24" s="40"/>
      <c r="R24" s="70" t="s">
        <v>79</v>
      </c>
    </row>
    <row r="25" spans="1:18" ht="43.5" customHeight="1" x14ac:dyDescent="0.35">
      <c r="A25" s="9">
        <v>20</v>
      </c>
      <c r="B25" s="9" t="s">
        <v>15</v>
      </c>
      <c r="C25" s="13" t="s">
        <v>80</v>
      </c>
      <c r="D25" s="7" t="s">
        <v>81</v>
      </c>
      <c r="E25" s="62" t="s">
        <v>18</v>
      </c>
      <c r="F25" s="62" t="s">
        <v>65</v>
      </c>
      <c r="G25" s="62" t="s">
        <v>20</v>
      </c>
      <c r="H25" s="62" t="s">
        <v>21</v>
      </c>
      <c r="I25" s="9" t="s">
        <v>22</v>
      </c>
      <c r="J25" s="91">
        <v>3000000</v>
      </c>
      <c r="K25" s="87" t="s">
        <v>23</v>
      </c>
      <c r="L25" s="95" t="s">
        <v>24</v>
      </c>
      <c r="M25" s="112" t="s">
        <v>20</v>
      </c>
      <c r="N25" s="96" t="s">
        <v>25</v>
      </c>
      <c r="O25" s="96" t="s">
        <v>26</v>
      </c>
      <c r="P25" s="91">
        <v>3000000</v>
      </c>
      <c r="Q25" s="39"/>
      <c r="R25" s="70" t="s">
        <v>27</v>
      </c>
    </row>
    <row r="26" spans="1:18" ht="43.5" customHeight="1" x14ac:dyDescent="0.35">
      <c r="A26" s="9">
        <v>21</v>
      </c>
      <c r="B26" s="9" t="s">
        <v>15</v>
      </c>
      <c r="C26" s="13" t="s">
        <v>80</v>
      </c>
      <c r="D26" s="7" t="s">
        <v>82</v>
      </c>
      <c r="E26" s="62" t="s">
        <v>18</v>
      </c>
      <c r="F26" s="62" t="s">
        <v>65</v>
      </c>
      <c r="G26" s="62" t="s">
        <v>20</v>
      </c>
      <c r="H26" s="62" t="s">
        <v>21</v>
      </c>
      <c r="I26" s="9" t="s">
        <v>22</v>
      </c>
      <c r="J26" s="91">
        <v>3000000</v>
      </c>
      <c r="K26" s="87" t="s">
        <v>23</v>
      </c>
      <c r="L26" s="95" t="s">
        <v>24</v>
      </c>
      <c r="M26" s="112" t="s">
        <v>20</v>
      </c>
      <c r="N26" s="96" t="s">
        <v>25</v>
      </c>
      <c r="O26" s="96" t="s">
        <v>26</v>
      </c>
      <c r="P26" s="91">
        <v>3000000</v>
      </c>
      <c r="Q26" s="39"/>
      <c r="R26" s="70" t="s">
        <v>27</v>
      </c>
    </row>
    <row r="27" spans="1:18" ht="43.5" customHeight="1" x14ac:dyDescent="0.35">
      <c r="A27" s="9">
        <v>22</v>
      </c>
      <c r="B27" s="9" t="s">
        <v>15</v>
      </c>
      <c r="C27" s="13" t="s">
        <v>83</v>
      </c>
      <c r="D27" s="7" t="s">
        <v>84</v>
      </c>
      <c r="E27" s="62" t="s">
        <v>18</v>
      </c>
      <c r="F27" s="62" t="s">
        <v>65</v>
      </c>
      <c r="G27" s="62" t="s">
        <v>20</v>
      </c>
      <c r="H27" s="62" t="s">
        <v>21</v>
      </c>
      <c r="I27" s="9" t="s">
        <v>22</v>
      </c>
      <c r="J27" s="91">
        <v>3000000</v>
      </c>
      <c r="K27" s="87" t="s">
        <v>23</v>
      </c>
      <c r="L27" s="95" t="s">
        <v>24</v>
      </c>
      <c r="M27" s="112" t="s">
        <v>20</v>
      </c>
      <c r="N27" s="96" t="s">
        <v>25</v>
      </c>
      <c r="O27" s="96" t="s">
        <v>26</v>
      </c>
      <c r="P27" s="91">
        <v>3000000</v>
      </c>
      <c r="Q27" s="39"/>
      <c r="R27" s="70" t="s">
        <v>27</v>
      </c>
    </row>
    <row r="28" spans="1:18" ht="43.5" customHeight="1" x14ac:dyDescent="0.35">
      <c r="A28" s="9">
        <v>23</v>
      </c>
      <c r="B28" s="9" t="s">
        <v>15</v>
      </c>
      <c r="C28" s="13" t="s">
        <v>83</v>
      </c>
      <c r="D28" s="7" t="s">
        <v>85</v>
      </c>
      <c r="E28" s="62" t="s">
        <v>18</v>
      </c>
      <c r="F28" s="62" t="s">
        <v>65</v>
      </c>
      <c r="G28" s="62" t="s">
        <v>20</v>
      </c>
      <c r="H28" s="62" t="s">
        <v>21</v>
      </c>
      <c r="I28" s="9" t="s">
        <v>22</v>
      </c>
      <c r="J28" s="91">
        <v>3000000</v>
      </c>
      <c r="K28" s="87" t="s">
        <v>23</v>
      </c>
      <c r="L28" s="95" t="s">
        <v>24</v>
      </c>
      <c r="M28" s="112" t="s">
        <v>20</v>
      </c>
      <c r="N28" s="96" t="s">
        <v>25</v>
      </c>
      <c r="O28" s="96" t="s">
        <v>26</v>
      </c>
      <c r="P28" s="91">
        <v>3000000</v>
      </c>
      <c r="Q28" s="39"/>
      <c r="R28" s="70" t="s">
        <v>27</v>
      </c>
    </row>
    <row r="29" spans="1:18" ht="43.5" customHeight="1" x14ac:dyDescent="0.35">
      <c r="A29" s="9">
        <v>24</v>
      </c>
      <c r="B29" s="9" t="s">
        <v>15</v>
      </c>
      <c r="C29" s="13" t="s">
        <v>83</v>
      </c>
      <c r="D29" s="7" t="s">
        <v>86</v>
      </c>
      <c r="E29" s="62" t="s">
        <v>18</v>
      </c>
      <c r="F29" s="62" t="s">
        <v>65</v>
      </c>
      <c r="G29" s="62" t="s">
        <v>20</v>
      </c>
      <c r="H29" s="62" t="s">
        <v>21</v>
      </c>
      <c r="I29" s="9" t="s">
        <v>22</v>
      </c>
      <c r="J29" s="91">
        <v>3000000</v>
      </c>
      <c r="K29" s="87" t="s">
        <v>23</v>
      </c>
      <c r="L29" s="95" t="s">
        <v>24</v>
      </c>
      <c r="M29" s="112" t="s">
        <v>20</v>
      </c>
      <c r="N29" s="96" t="s">
        <v>25</v>
      </c>
      <c r="O29" s="96" t="s">
        <v>26</v>
      </c>
      <c r="P29" s="91">
        <v>3000000</v>
      </c>
      <c r="Q29" s="39"/>
      <c r="R29" s="70" t="s">
        <v>27</v>
      </c>
    </row>
    <row r="30" spans="1:18" ht="43.5" customHeight="1" x14ac:dyDescent="0.35">
      <c r="A30" s="9">
        <v>25</v>
      </c>
      <c r="B30" s="9" t="s">
        <v>15</v>
      </c>
      <c r="C30" s="21" t="s">
        <v>87</v>
      </c>
      <c r="D30" s="33" t="s">
        <v>88</v>
      </c>
      <c r="E30" s="62" t="s">
        <v>89</v>
      </c>
      <c r="F30" s="62" t="s">
        <v>90</v>
      </c>
      <c r="G30" s="62" t="s">
        <v>20</v>
      </c>
      <c r="H30" s="34" t="s">
        <v>91</v>
      </c>
      <c r="I30" s="9" t="s">
        <v>22</v>
      </c>
      <c r="J30" s="91">
        <v>81420900</v>
      </c>
      <c r="K30" s="129" t="s">
        <v>92</v>
      </c>
      <c r="L30" s="95" t="s">
        <v>47</v>
      </c>
      <c r="M30" s="97" t="s">
        <v>47</v>
      </c>
      <c r="N30" s="96" t="s">
        <v>47</v>
      </c>
      <c r="O30" s="9" t="s">
        <v>22</v>
      </c>
      <c r="P30" s="149">
        <v>122720022</v>
      </c>
      <c r="Q30" s="39"/>
      <c r="R30" s="10" t="s">
        <v>93</v>
      </c>
    </row>
    <row r="31" spans="1:18" ht="43.5" customHeight="1" x14ac:dyDescent="0.35">
      <c r="A31" s="9">
        <v>26</v>
      </c>
      <c r="B31" s="9" t="s">
        <v>15</v>
      </c>
      <c r="C31" s="21" t="s">
        <v>94</v>
      </c>
      <c r="D31" s="20" t="s">
        <v>95</v>
      </c>
      <c r="E31" s="62" t="s">
        <v>89</v>
      </c>
      <c r="F31" s="34" t="s">
        <v>96</v>
      </c>
      <c r="G31" s="62" t="s">
        <v>20</v>
      </c>
      <c r="H31" s="34" t="s">
        <v>91</v>
      </c>
      <c r="I31" s="9" t="s">
        <v>22</v>
      </c>
      <c r="J31" s="91">
        <v>91079100</v>
      </c>
      <c r="K31" s="129" t="s">
        <v>92</v>
      </c>
      <c r="L31" s="95" t="s">
        <v>47</v>
      </c>
      <c r="M31" s="97" t="s">
        <v>47</v>
      </c>
      <c r="N31" s="96" t="s">
        <v>47</v>
      </c>
      <c r="O31" s="9" t="s">
        <v>22</v>
      </c>
      <c r="P31" s="150"/>
      <c r="Q31" s="39"/>
      <c r="R31" s="10" t="s">
        <v>93</v>
      </c>
    </row>
    <row r="32" spans="1:18" ht="43.5" customHeight="1" x14ac:dyDescent="0.35">
      <c r="A32" s="9">
        <v>27</v>
      </c>
      <c r="B32" s="9" t="s">
        <v>15</v>
      </c>
      <c r="C32" s="21" t="s">
        <v>97</v>
      </c>
      <c r="D32" s="20" t="s">
        <v>98</v>
      </c>
      <c r="E32" s="62" t="s">
        <v>89</v>
      </c>
      <c r="F32" s="34" t="s">
        <v>99</v>
      </c>
      <c r="G32" s="62" t="s">
        <v>20</v>
      </c>
      <c r="H32" s="34" t="s">
        <v>100</v>
      </c>
      <c r="I32" s="9" t="s">
        <v>101</v>
      </c>
      <c r="J32" s="91">
        <v>935000000</v>
      </c>
      <c r="K32" s="9" t="s">
        <v>102</v>
      </c>
      <c r="L32" s="95" t="s">
        <v>47</v>
      </c>
      <c r="M32" s="97" t="s">
        <v>47</v>
      </c>
      <c r="N32" s="96" t="s">
        <v>47</v>
      </c>
      <c r="O32" s="96" t="s">
        <v>47</v>
      </c>
      <c r="P32" s="39"/>
      <c r="Q32" s="39"/>
      <c r="R32" s="10" t="s">
        <v>103</v>
      </c>
    </row>
    <row r="33" spans="1:18" ht="43.5" customHeight="1" x14ac:dyDescent="0.35">
      <c r="A33" s="9">
        <v>28</v>
      </c>
      <c r="B33" s="9" t="s">
        <v>15</v>
      </c>
      <c r="C33" s="21" t="s">
        <v>104</v>
      </c>
      <c r="D33" s="20" t="s">
        <v>105</v>
      </c>
      <c r="E33" s="62" t="s">
        <v>89</v>
      </c>
      <c r="F33" s="34" t="s">
        <v>99</v>
      </c>
      <c r="G33" s="62" t="s">
        <v>20</v>
      </c>
      <c r="H33" s="34" t="s">
        <v>100</v>
      </c>
      <c r="I33" s="9" t="s">
        <v>101</v>
      </c>
      <c r="J33" s="91">
        <v>935000000</v>
      </c>
      <c r="K33" s="9" t="s">
        <v>102</v>
      </c>
      <c r="L33" s="95" t="s">
        <v>47</v>
      </c>
      <c r="M33" s="97" t="s">
        <v>47</v>
      </c>
      <c r="N33" s="96" t="s">
        <v>47</v>
      </c>
      <c r="O33" s="96" t="s">
        <v>47</v>
      </c>
      <c r="P33" s="39"/>
      <c r="Q33" s="39"/>
      <c r="R33" s="10" t="s">
        <v>103</v>
      </c>
    </row>
    <row r="34" spans="1:18" ht="43.5" customHeight="1" x14ac:dyDescent="0.35">
      <c r="A34" s="9">
        <v>29</v>
      </c>
      <c r="B34" s="9" t="s">
        <v>15</v>
      </c>
      <c r="C34" s="21" t="s">
        <v>106</v>
      </c>
      <c r="D34" s="20"/>
      <c r="E34" s="65" t="s">
        <v>18</v>
      </c>
      <c r="F34" s="65"/>
      <c r="G34" s="62" t="s">
        <v>20</v>
      </c>
      <c r="H34" s="65" t="s">
        <v>18</v>
      </c>
      <c r="I34" s="9"/>
      <c r="J34" s="65" t="s">
        <v>18</v>
      </c>
      <c r="K34" s="9"/>
      <c r="L34" s="95" t="s">
        <v>47</v>
      </c>
      <c r="M34" s="97" t="s">
        <v>18</v>
      </c>
      <c r="N34" s="96" t="s">
        <v>47</v>
      </c>
      <c r="O34" s="96" t="s">
        <v>47</v>
      </c>
      <c r="P34" s="40"/>
      <c r="Q34" s="40"/>
      <c r="R34" s="13" t="s">
        <v>107</v>
      </c>
    </row>
    <row r="35" spans="1:18" ht="43.5" customHeight="1" x14ac:dyDescent="0.35">
      <c r="A35" s="9">
        <v>30</v>
      </c>
      <c r="B35" s="9" t="s">
        <v>15</v>
      </c>
      <c r="C35" s="21" t="s">
        <v>108</v>
      </c>
      <c r="D35" s="20"/>
      <c r="E35" s="65" t="s">
        <v>18</v>
      </c>
      <c r="F35" s="65"/>
      <c r="G35" s="62" t="s">
        <v>20</v>
      </c>
      <c r="H35" s="65" t="s">
        <v>18</v>
      </c>
      <c r="I35" s="9"/>
      <c r="J35" s="65" t="s">
        <v>18</v>
      </c>
      <c r="K35" s="9"/>
      <c r="L35" s="95" t="s">
        <v>47</v>
      </c>
      <c r="M35" s="97" t="s">
        <v>18</v>
      </c>
      <c r="N35" s="96" t="s">
        <v>47</v>
      </c>
      <c r="O35" s="96" t="s">
        <v>47</v>
      </c>
      <c r="P35" s="40"/>
      <c r="Q35" s="40"/>
      <c r="R35" s="13" t="s">
        <v>109</v>
      </c>
    </row>
    <row r="36" spans="1:18" ht="43.5" customHeight="1" x14ac:dyDescent="0.35">
      <c r="A36" s="9">
        <v>31</v>
      </c>
      <c r="B36" s="9" t="s">
        <v>15</v>
      </c>
      <c r="C36" s="5" t="s">
        <v>110</v>
      </c>
      <c r="D36" s="5" t="s">
        <v>111</v>
      </c>
      <c r="E36" s="35" t="s">
        <v>89</v>
      </c>
      <c r="F36" s="35">
        <v>45251</v>
      </c>
      <c r="G36" s="62" t="s">
        <v>20</v>
      </c>
      <c r="H36" s="35">
        <v>48904</v>
      </c>
      <c r="I36" s="9" t="s">
        <v>112</v>
      </c>
      <c r="J36" s="64">
        <v>25000000</v>
      </c>
      <c r="K36" s="124" t="s">
        <v>113</v>
      </c>
      <c r="L36" s="95" t="s">
        <v>47</v>
      </c>
      <c r="M36" s="97" t="s">
        <v>47</v>
      </c>
      <c r="N36" s="96" t="s">
        <v>47</v>
      </c>
      <c r="O36" s="96" t="s">
        <v>47</v>
      </c>
      <c r="P36" s="40"/>
      <c r="Q36" s="40"/>
      <c r="R36" s="10" t="s">
        <v>114</v>
      </c>
    </row>
    <row r="37" spans="1:18" ht="43.5" customHeight="1" x14ac:dyDescent="0.35">
      <c r="A37" s="9">
        <v>32</v>
      </c>
      <c r="B37" s="9" t="s">
        <v>115</v>
      </c>
      <c r="C37" s="7" t="s">
        <v>116</v>
      </c>
      <c r="D37" s="5" t="s">
        <v>117</v>
      </c>
      <c r="E37" s="65" t="s">
        <v>18</v>
      </c>
      <c r="F37" s="37">
        <v>45967</v>
      </c>
      <c r="G37" s="66" t="s">
        <v>20</v>
      </c>
      <c r="H37" s="62" t="s">
        <v>118</v>
      </c>
      <c r="I37" s="9" t="s">
        <v>22</v>
      </c>
      <c r="J37" s="64">
        <v>1750000</v>
      </c>
      <c r="K37" s="88" t="s">
        <v>119</v>
      </c>
      <c r="L37" s="95" t="s">
        <v>47</v>
      </c>
      <c r="M37" s="97" t="s">
        <v>47</v>
      </c>
      <c r="N37" s="96" t="s">
        <v>47</v>
      </c>
      <c r="O37" s="9" t="s">
        <v>22</v>
      </c>
      <c r="P37" s="125">
        <v>1750000</v>
      </c>
      <c r="Q37" s="40"/>
      <c r="R37" s="61" t="s">
        <v>120</v>
      </c>
    </row>
    <row r="38" spans="1:18" ht="43.5" customHeight="1" x14ac:dyDescent="0.35">
      <c r="A38" s="9">
        <v>33</v>
      </c>
      <c r="B38" s="9" t="s">
        <v>115</v>
      </c>
      <c r="C38" s="7" t="s">
        <v>121</v>
      </c>
      <c r="D38" s="5" t="s">
        <v>122</v>
      </c>
      <c r="E38" s="65" t="s">
        <v>18</v>
      </c>
      <c r="F38" s="37">
        <v>45967</v>
      </c>
      <c r="G38" s="66" t="s">
        <v>20</v>
      </c>
      <c r="H38" s="62" t="s">
        <v>118</v>
      </c>
      <c r="I38" s="9" t="s">
        <v>22</v>
      </c>
      <c r="J38" s="64">
        <v>1750000</v>
      </c>
      <c r="K38" s="88" t="s">
        <v>119</v>
      </c>
      <c r="L38" s="95" t="s">
        <v>47</v>
      </c>
      <c r="M38" s="97" t="s">
        <v>47</v>
      </c>
      <c r="N38" s="96" t="s">
        <v>47</v>
      </c>
      <c r="O38" s="9" t="s">
        <v>22</v>
      </c>
      <c r="P38" s="125">
        <v>1750000</v>
      </c>
      <c r="Q38" s="40"/>
      <c r="R38" s="61" t="s">
        <v>120</v>
      </c>
    </row>
    <row r="39" spans="1:18" ht="43.5" customHeight="1" x14ac:dyDescent="0.35">
      <c r="A39" s="9">
        <v>34</v>
      </c>
      <c r="B39" s="9" t="s">
        <v>115</v>
      </c>
      <c r="C39" s="7" t="s">
        <v>123</v>
      </c>
      <c r="D39" s="5" t="s">
        <v>124</v>
      </c>
      <c r="E39" s="65" t="s">
        <v>18</v>
      </c>
      <c r="F39" s="37">
        <v>45967</v>
      </c>
      <c r="G39" s="66" t="s">
        <v>20</v>
      </c>
      <c r="H39" s="62" t="s">
        <v>118</v>
      </c>
      <c r="I39" s="9" t="s">
        <v>22</v>
      </c>
      <c r="J39" s="64">
        <v>1750000</v>
      </c>
      <c r="K39" s="88" t="s">
        <v>119</v>
      </c>
      <c r="L39" s="95" t="s">
        <v>47</v>
      </c>
      <c r="M39" s="97" t="s">
        <v>47</v>
      </c>
      <c r="N39" s="96" t="s">
        <v>47</v>
      </c>
      <c r="O39" s="9" t="s">
        <v>22</v>
      </c>
      <c r="P39" s="125">
        <v>1750000</v>
      </c>
      <c r="Q39" s="40"/>
      <c r="R39" s="61" t="s">
        <v>120</v>
      </c>
    </row>
    <row r="40" spans="1:18" ht="43.5" customHeight="1" x14ac:dyDescent="0.35">
      <c r="A40" s="9">
        <v>35</v>
      </c>
      <c r="B40" s="9" t="s">
        <v>115</v>
      </c>
      <c r="C40" s="7" t="s">
        <v>116</v>
      </c>
      <c r="D40" s="5" t="s">
        <v>125</v>
      </c>
      <c r="E40" s="65" t="s">
        <v>18</v>
      </c>
      <c r="F40" s="37">
        <v>45967</v>
      </c>
      <c r="G40" s="66" t="s">
        <v>20</v>
      </c>
      <c r="H40" s="62" t="s">
        <v>118</v>
      </c>
      <c r="I40" s="9" t="s">
        <v>22</v>
      </c>
      <c r="J40" s="64">
        <v>1750000</v>
      </c>
      <c r="K40" s="88" t="s">
        <v>119</v>
      </c>
      <c r="L40" s="95" t="s">
        <v>47</v>
      </c>
      <c r="M40" s="97" t="s">
        <v>47</v>
      </c>
      <c r="N40" s="96" t="s">
        <v>47</v>
      </c>
      <c r="O40" s="9" t="s">
        <v>22</v>
      </c>
      <c r="P40" s="125">
        <v>1750000</v>
      </c>
      <c r="Q40" s="40"/>
      <c r="R40" s="61" t="s">
        <v>120</v>
      </c>
    </row>
    <row r="41" spans="1:18" ht="43.5" customHeight="1" x14ac:dyDescent="0.35">
      <c r="A41" s="9">
        <v>36</v>
      </c>
      <c r="B41" s="9" t="s">
        <v>115</v>
      </c>
      <c r="C41" s="7" t="s">
        <v>126</v>
      </c>
      <c r="D41" s="7" t="s">
        <v>127</v>
      </c>
      <c r="E41" s="36" t="s">
        <v>18</v>
      </c>
      <c r="F41" s="37">
        <v>45925</v>
      </c>
      <c r="G41" s="62" t="s">
        <v>20</v>
      </c>
      <c r="H41" s="37">
        <v>46290</v>
      </c>
      <c r="I41" s="9" t="s">
        <v>22</v>
      </c>
      <c r="J41" s="67">
        <v>1600000</v>
      </c>
      <c r="K41" s="89" t="s">
        <v>46</v>
      </c>
      <c r="L41" s="95" t="s">
        <v>47</v>
      </c>
      <c r="M41" s="97" t="s">
        <v>149</v>
      </c>
      <c r="N41" s="96" t="s">
        <v>47</v>
      </c>
      <c r="O41" s="9" t="s">
        <v>22</v>
      </c>
      <c r="P41" s="43">
        <v>1600000</v>
      </c>
      <c r="Q41" s="43"/>
      <c r="R41" s="61" t="s">
        <v>120</v>
      </c>
    </row>
    <row r="42" spans="1:18" ht="43.5" customHeight="1" x14ac:dyDescent="0.35">
      <c r="A42" s="9">
        <v>37</v>
      </c>
      <c r="B42" s="9" t="s">
        <v>115</v>
      </c>
      <c r="C42" s="7" t="s">
        <v>128</v>
      </c>
      <c r="D42" s="7" t="s">
        <v>129</v>
      </c>
      <c r="E42" s="36" t="s">
        <v>18</v>
      </c>
      <c r="F42" s="37">
        <v>45925</v>
      </c>
      <c r="G42" s="62" t="s">
        <v>20</v>
      </c>
      <c r="H42" s="37">
        <v>46290</v>
      </c>
      <c r="I42" s="9" t="s">
        <v>22</v>
      </c>
      <c r="J42" s="67">
        <v>1600000</v>
      </c>
      <c r="K42" s="89" t="s">
        <v>46</v>
      </c>
      <c r="L42" s="95" t="s">
        <v>47</v>
      </c>
      <c r="M42" s="97" t="s">
        <v>149</v>
      </c>
      <c r="N42" s="96" t="s">
        <v>47</v>
      </c>
      <c r="O42" s="9" t="s">
        <v>22</v>
      </c>
      <c r="P42" s="43">
        <v>1600000</v>
      </c>
      <c r="Q42" s="43"/>
      <c r="R42" s="61" t="s">
        <v>120</v>
      </c>
    </row>
    <row r="43" spans="1:18" ht="43.5" customHeight="1" x14ac:dyDescent="0.35">
      <c r="A43" s="9">
        <v>38</v>
      </c>
      <c r="B43" s="9" t="s">
        <v>115</v>
      </c>
      <c r="C43" s="7" t="s">
        <v>130</v>
      </c>
      <c r="D43" s="7" t="s">
        <v>131</v>
      </c>
      <c r="E43" s="36" t="s">
        <v>18</v>
      </c>
      <c r="F43" s="37">
        <v>45925</v>
      </c>
      <c r="G43" s="62" t="s">
        <v>20</v>
      </c>
      <c r="H43" s="37">
        <v>46290</v>
      </c>
      <c r="I43" s="9" t="s">
        <v>22</v>
      </c>
      <c r="J43" s="67">
        <v>1600000</v>
      </c>
      <c r="K43" s="89" t="s">
        <v>46</v>
      </c>
      <c r="L43" s="95" t="s">
        <v>47</v>
      </c>
      <c r="M43" s="97" t="s">
        <v>149</v>
      </c>
      <c r="N43" s="96" t="s">
        <v>47</v>
      </c>
      <c r="O43" s="9" t="s">
        <v>22</v>
      </c>
      <c r="P43" s="43">
        <v>1600000</v>
      </c>
      <c r="Q43" s="43"/>
      <c r="R43" s="61" t="s">
        <v>120</v>
      </c>
    </row>
    <row r="44" spans="1:18" ht="43.5" customHeight="1" x14ac:dyDescent="0.35">
      <c r="A44" s="9">
        <v>39</v>
      </c>
      <c r="B44" s="9" t="s">
        <v>115</v>
      </c>
      <c r="C44" s="7" t="s">
        <v>132</v>
      </c>
      <c r="D44" s="7" t="s">
        <v>133</v>
      </c>
      <c r="E44" s="36" t="s">
        <v>18</v>
      </c>
      <c r="F44" s="36" t="s">
        <v>134</v>
      </c>
      <c r="G44" s="62" t="s">
        <v>20</v>
      </c>
      <c r="H44" s="18" t="s">
        <v>21</v>
      </c>
      <c r="I44" s="9" t="s">
        <v>58</v>
      </c>
      <c r="J44" s="64">
        <v>2000000</v>
      </c>
      <c r="K44" s="87" t="s">
        <v>23</v>
      </c>
      <c r="L44" s="98">
        <v>46125</v>
      </c>
      <c r="M44" s="112" t="s">
        <v>20</v>
      </c>
      <c r="N44" s="96" t="s">
        <v>135</v>
      </c>
      <c r="O44" s="97" t="s">
        <v>58</v>
      </c>
      <c r="P44" s="64">
        <v>2000000</v>
      </c>
      <c r="Q44" s="40"/>
      <c r="R44" s="71" t="s">
        <v>27</v>
      </c>
    </row>
    <row r="45" spans="1:18" ht="43.5" customHeight="1" x14ac:dyDescent="0.35">
      <c r="A45" s="9">
        <v>40</v>
      </c>
      <c r="B45" s="9" t="s">
        <v>115</v>
      </c>
      <c r="C45" s="7" t="s">
        <v>132</v>
      </c>
      <c r="D45" s="7" t="s">
        <v>136</v>
      </c>
      <c r="E45" s="36" t="s">
        <v>18</v>
      </c>
      <c r="F45" s="36" t="s">
        <v>134</v>
      </c>
      <c r="G45" s="62" t="s">
        <v>20</v>
      </c>
      <c r="H45" s="18" t="s">
        <v>21</v>
      </c>
      <c r="I45" s="9" t="s">
        <v>58</v>
      </c>
      <c r="J45" s="64">
        <v>2000000</v>
      </c>
      <c r="K45" s="87" t="s">
        <v>23</v>
      </c>
      <c r="L45" s="98">
        <v>46125</v>
      </c>
      <c r="M45" s="112" t="s">
        <v>20</v>
      </c>
      <c r="N45" s="96" t="s">
        <v>135</v>
      </c>
      <c r="O45" s="97" t="s">
        <v>58</v>
      </c>
      <c r="P45" s="64">
        <v>2000000</v>
      </c>
      <c r="Q45" s="40"/>
      <c r="R45" s="71" t="s">
        <v>137</v>
      </c>
    </row>
    <row r="46" spans="1:18" ht="43.5" customHeight="1" x14ac:dyDescent="0.35">
      <c r="A46" s="9">
        <v>41</v>
      </c>
      <c r="B46" s="9" t="s">
        <v>115</v>
      </c>
      <c r="C46" s="7" t="s">
        <v>132</v>
      </c>
      <c r="D46" s="7" t="s">
        <v>138</v>
      </c>
      <c r="E46" s="36" t="s">
        <v>18</v>
      </c>
      <c r="F46" s="36" t="s">
        <v>134</v>
      </c>
      <c r="G46" s="62" t="s">
        <v>20</v>
      </c>
      <c r="H46" s="18" t="s">
        <v>21</v>
      </c>
      <c r="I46" s="9" t="s">
        <v>58</v>
      </c>
      <c r="J46" s="64">
        <v>2000000</v>
      </c>
      <c r="K46" s="87" t="s">
        <v>23</v>
      </c>
      <c r="L46" s="98">
        <v>46125</v>
      </c>
      <c r="M46" s="112" t="s">
        <v>20</v>
      </c>
      <c r="N46" s="96" t="s">
        <v>135</v>
      </c>
      <c r="O46" s="97" t="s">
        <v>58</v>
      </c>
      <c r="P46" s="64">
        <v>2000000</v>
      </c>
      <c r="Q46" s="40"/>
      <c r="R46" s="71" t="s">
        <v>27</v>
      </c>
    </row>
    <row r="47" spans="1:18" ht="43.5" customHeight="1" x14ac:dyDescent="0.35">
      <c r="A47" s="9">
        <v>42</v>
      </c>
      <c r="B47" s="9" t="s">
        <v>115</v>
      </c>
      <c r="C47" s="7" t="s">
        <v>139</v>
      </c>
      <c r="D47" s="7" t="s">
        <v>140</v>
      </c>
      <c r="E47" s="36" t="s">
        <v>18</v>
      </c>
      <c r="F47" s="62" t="s">
        <v>141</v>
      </c>
      <c r="G47" s="66" t="s">
        <v>20</v>
      </c>
      <c r="H47" s="62" t="s">
        <v>142</v>
      </c>
      <c r="I47" s="9" t="s">
        <v>22</v>
      </c>
      <c r="J47" s="64">
        <v>4000000</v>
      </c>
      <c r="K47" s="88" t="s">
        <v>119</v>
      </c>
      <c r="L47" s="99" t="s">
        <v>47</v>
      </c>
      <c r="M47" s="97" t="s">
        <v>47</v>
      </c>
      <c r="N47" s="100" t="s">
        <v>47</v>
      </c>
      <c r="O47" s="9" t="s">
        <v>22</v>
      </c>
      <c r="P47" s="125">
        <v>4000000</v>
      </c>
      <c r="Q47" s="41"/>
      <c r="R47" s="61" t="s">
        <v>120</v>
      </c>
    </row>
    <row r="48" spans="1:18" ht="43.5" customHeight="1" x14ac:dyDescent="0.35">
      <c r="A48" s="9">
        <v>43</v>
      </c>
      <c r="B48" s="9" t="s">
        <v>115</v>
      </c>
      <c r="C48" s="7" t="s">
        <v>143</v>
      </c>
      <c r="D48" s="7" t="s">
        <v>144</v>
      </c>
      <c r="E48" s="36" t="s">
        <v>18</v>
      </c>
      <c r="F48" s="37">
        <v>45925</v>
      </c>
      <c r="G48" s="62" t="s">
        <v>20</v>
      </c>
      <c r="H48" s="37">
        <v>46290</v>
      </c>
      <c r="I48" s="9" t="s">
        <v>22</v>
      </c>
      <c r="J48" s="64">
        <v>4000000</v>
      </c>
      <c r="K48" s="88" t="s">
        <v>119</v>
      </c>
      <c r="L48" s="99" t="s">
        <v>47</v>
      </c>
      <c r="M48" s="97" t="s">
        <v>47</v>
      </c>
      <c r="N48" s="100" t="s">
        <v>47</v>
      </c>
      <c r="O48" s="9" t="s">
        <v>22</v>
      </c>
      <c r="P48" s="125">
        <v>4000000</v>
      </c>
      <c r="Q48" s="41"/>
      <c r="R48" s="61" t="s">
        <v>120</v>
      </c>
    </row>
    <row r="49" spans="1:18" ht="43.5" customHeight="1" x14ac:dyDescent="0.35">
      <c r="A49" s="9">
        <v>44</v>
      </c>
      <c r="B49" s="9" t="s">
        <v>115</v>
      </c>
      <c r="C49" s="7" t="s">
        <v>145</v>
      </c>
      <c r="D49" s="7" t="s">
        <v>146</v>
      </c>
      <c r="E49" s="37" t="s">
        <v>89</v>
      </c>
      <c r="F49" s="37">
        <v>45923</v>
      </c>
      <c r="G49" s="62" t="s">
        <v>20</v>
      </c>
      <c r="H49" s="37">
        <v>46282</v>
      </c>
      <c r="I49" s="9" t="s">
        <v>147</v>
      </c>
      <c r="J49" s="64">
        <v>56000000</v>
      </c>
      <c r="K49" s="90" t="s">
        <v>148</v>
      </c>
      <c r="L49" s="99" t="s">
        <v>47</v>
      </c>
      <c r="M49" s="97" t="s">
        <v>149</v>
      </c>
      <c r="N49" s="100" t="s">
        <v>47</v>
      </c>
      <c r="O49" s="100" t="s">
        <v>22</v>
      </c>
      <c r="P49" s="41">
        <v>56000000</v>
      </c>
      <c r="Q49" s="41"/>
      <c r="R49" s="71" t="s">
        <v>27</v>
      </c>
    </row>
    <row r="50" spans="1:18" ht="43.5" customHeight="1" x14ac:dyDescent="0.35">
      <c r="A50" s="9">
        <v>45</v>
      </c>
      <c r="B50" s="9" t="s">
        <v>115</v>
      </c>
      <c r="C50" s="7" t="s">
        <v>150</v>
      </c>
      <c r="D50" s="7" t="s">
        <v>151</v>
      </c>
      <c r="E50" s="37" t="s">
        <v>89</v>
      </c>
      <c r="F50" s="68" t="s">
        <v>152</v>
      </c>
      <c r="G50" s="62" t="s">
        <v>20</v>
      </c>
      <c r="H50" s="62" t="s">
        <v>153</v>
      </c>
      <c r="I50" s="9" t="s">
        <v>101</v>
      </c>
      <c r="J50" s="64">
        <v>962000000</v>
      </c>
      <c r="K50" s="9" t="s">
        <v>154</v>
      </c>
      <c r="L50" s="99" t="s">
        <v>155</v>
      </c>
      <c r="M50" s="113" t="s">
        <v>20</v>
      </c>
      <c r="N50" s="100" t="s">
        <v>156</v>
      </c>
      <c r="O50" s="100" t="s">
        <v>101</v>
      </c>
      <c r="P50" s="41">
        <v>962031000</v>
      </c>
      <c r="Q50" s="41"/>
      <c r="R50" s="71" t="s">
        <v>157</v>
      </c>
    </row>
    <row r="51" spans="1:18" ht="43.5" customHeight="1" x14ac:dyDescent="0.35">
      <c r="A51" s="9">
        <v>46</v>
      </c>
      <c r="B51" s="9" t="s">
        <v>115</v>
      </c>
      <c r="C51" s="7" t="s">
        <v>158</v>
      </c>
      <c r="D51" s="7" t="s">
        <v>159</v>
      </c>
      <c r="E51" s="37" t="s">
        <v>89</v>
      </c>
      <c r="F51" s="9" t="s">
        <v>160</v>
      </c>
      <c r="G51" s="66" t="s">
        <v>20</v>
      </c>
      <c r="H51" s="106" t="s">
        <v>118</v>
      </c>
      <c r="I51" s="9" t="s">
        <v>22</v>
      </c>
      <c r="J51" s="139">
        <v>44360000</v>
      </c>
      <c r="K51" s="88" t="s">
        <v>119</v>
      </c>
      <c r="L51" s="99" t="s">
        <v>47</v>
      </c>
      <c r="M51" s="97" t="s">
        <v>149</v>
      </c>
      <c r="N51" s="100" t="s">
        <v>47</v>
      </c>
      <c r="O51" s="9" t="s">
        <v>22</v>
      </c>
      <c r="P51" s="135">
        <v>44360000</v>
      </c>
      <c r="Q51" s="41"/>
      <c r="R51" s="10" t="s">
        <v>161</v>
      </c>
    </row>
    <row r="52" spans="1:18" ht="43.5" customHeight="1" x14ac:dyDescent="0.35">
      <c r="A52" s="9">
        <v>47</v>
      </c>
      <c r="B52" s="9" t="s">
        <v>115</v>
      </c>
      <c r="C52" s="7" t="s">
        <v>162</v>
      </c>
      <c r="D52" s="7"/>
      <c r="E52" s="37" t="s">
        <v>89</v>
      </c>
      <c r="F52" s="9" t="s">
        <v>160</v>
      </c>
      <c r="G52" s="66" t="s">
        <v>20</v>
      </c>
      <c r="H52" s="106" t="s">
        <v>118</v>
      </c>
      <c r="I52" s="9" t="s">
        <v>147</v>
      </c>
      <c r="J52" s="141"/>
      <c r="K52" s="88" t="s">
        <v>119</v>
      </c>
      <c r="L52" s="99" t="s">
        <v>47</v>
      </c>
      <c r="M52" s="97" t="s">
        <v>149</v>
      </c>
      <c r="N52" s="100" t="s">
        <v>47</v>
      </c>
      <c r="O52" s="9" t="s">
        <v>147</v>
      </c>
      <c r="P52" s="137"/>
      <c r="Q52" s="41"/>
      <c r="R52" s="10" t="s">
        <v>161</v>
      </c>
    </row>
    <row r="53" spans="1:18" ht="43.5" customHeight="1" x14ac:dyDescent="0.35">
      <c r="A53" s="9">
        <v>48</v>
      </c>
      <c r="B53" s="9" t="s">
        <v>115</v>
      </c>
      <c r="C53" s="7" t="s">
        <v>163</v>
      </c>
      <c r="D53" s="7" t="s">
        <v>164</v>
      </c>
      <c r="E53" s="37" t="s">
        <v>89</v>
      </c>
      <c r="F53" s="9" t="s">
        <v>160</v>
      </c>
      <c r="G53" s="66" t="s">
        <v>20</v>
      </c>
      <c r="H53" s="9" t="s">
        <v>91</v>
      </c>
      <c r="I53" s="9" t="s">
        <v>58</v>
      </c>
      <c r="J53" s="139">
        <v>39600000</v>
      </c>
      <c r="K53" s="88" t="s">
        <v>119</v>
      </c>
      <c r="L53" s="99" t="s">
        <v>47</v>
      </c>
      <c r="M53" s="97" t="s">
        <v>149</v>
      </c>
      <c r="N53" s="100" t="s">
        <v>47</v>
      </c>
      <c r="O53" s="9" t="s">
        <v>147</v>
      </c>
      <c r="P53" s="133">
        <v>39600000</v>
      </c>
      <c r="Q53" s="41"/>
      <c r="R53" s="10" t="s">
        <v>161</v>
      </c>
    </row>
    <row r="54" spans="1:18" ht="43.5" customHeight="1" x14ac:dyDescent="0.35">
      <c r="A54" s="9">
        <v>49</v>
      </c>
      <c r="B54" s="9" t="s">
        <v>115</v>
      </c>
      <c r="C54" s="7" t="s">
        <v>165</v>
      </c>
      <c r="D54" s="7"/>
      <c r="E54" s="37" t="s">
        <v>89</v>
      </c>
      <c r="F54" s="9" t="s">
        <v>160</v>
      </c>
      <c r="G54" s="66" t="s">
        <v>20</v>
      </c>
      <c r="H54" s="9" t="s">
        <v>91</v>
      </c>
      <c r="I54" s="9" t="s">
        <v>147</v>
      </c>
      <c r="J54" s="141"/>
      <c r="K54" s="88" t="s">
        <v>119</v>
      </c>
      <c r="L54" s="99" t="s">
        <v>47</v>
      </c>
      <c r="M54" s="97" t="s">
        <v>149</v>
      </c>
      <c r="N54" s="100" t="s">
        <v>47</v>
      </c>
      <c r="O54" s="9" t="s">
        <v>147</v>
      </c>
      <c r="P54" s="134"/>
      <c r="Q54" s="41"/>
      <c r="R54" s="10" t="s">
        <v>161</v>
      </c>
    </row>
    <row r="55" spans="1:18" ht="43.5" customHeight="1" x14ac:dyDescent="0.35">
      <c r="A55" s="9">
        <v>50</v>
      </c>
      <c r="B55" s="9" t="s">
        <v>115</v>
      </c>
      <c r="C55" s="7" t="s">
        <v>166</v>
      </c>
      <c r="D55" s="7" t="s">
        <v>167</v>
      </c>
      <c r="E55" s="37" t="s">
        <v>89</v>
      </c>
      <c r="F55" s="35">
        <v>45543</v>
      </c>
      <c r="G55" s="62" t="s">
        <v>20</v>
      </c>
      <c r="H55" s="35">
        <v>51021</v>
      </c>
      <c r="I55" s="9" t="s">
        <v>168</v>
      </c>
      <c r="J55" s="69">
        <v>7000000</v>
      </c>
      <c r="K55" s="9" t="s">
        <v>169</v>
      </c>
      <c r="L55" s="99" t="s">
        <v>47</v>
      </c>
      <c r="M55" s="97" t="s">
        <v>47</v>
      </c>
      <c r="N55" s="100" t="s">
        <v>47</v>
      </c>
      <c r="O55" s="100" t="s">
        <v>47</v>
      </c>
      <c r="P55" s="45"/>
      <c r="Q55" s="45"/>
      <c r="R55" s="61" t="s">
        <v>170</v>
      </c>
    </row>
    <row r="56" spans="1:18" ht="43.5" customHeight="1" x14ac:dyDescent="0.35">
      <c r="A56" s="9">
        <v>51</v>
      </c>
      <c r="B56" s="9" t="s">
        <v>115</v>
      </c>
      <c r="C56" s="7" t="s">
        <v>171</v>
      </c>
      <c r="D56" s="7" t="s">
        <v>172</v>
      </c>
      <c r="E56" s="37" t="s">
        <v>89</v>
      </c>
      <c r="F56" s="35">
        <v>45543</v>
      </c>
      <c r="G56" s="62" t="s">
        <v>20</v>
      </c>
      <c r="H56" s="35">
        <v>51021</v>
      </c>
      <c r="I56" s="9" t="s">
        <v>168</v>
      </c>
      <c r="J56" s="69">
        <v>8500000</v>
      </c>
      <c r="K56" s="9" t="s">
        <v>169</v>
      </c>
      <c r="L56" s="99" t="s">
        <v>47</v>
      </c>
      <c r="M56" s="97" t="s">
        <v>47</v>
      </c>
      <c r="N56" s="100" t="s">
        <v>47</v>
      </c>
      <c r="O56" s="100" t="s">
        <v>47</v>
      </c>
      <c r="P56" s="45"/>
      <c r="Q56" s="45"/>
      <c r="R56" s="71" t="s">
        <v>173</v>
      </c>
    </row>
    <row r="57" spans="1:18" ht="43.5" customHeight="1" x14ac:dyDescent="0.35">
      <c r="A57" s="9">
        <v>52</v>
      </c>
      <c r="B57" s="72" t="s">
        <v>115</v>
      </c>
      <c r="C57" s="73" t="s">
        <v>174</v>
      </c>
      <c r="D57" s="73" t="s">
        <v>175</v>
      </c>
      <c r="E57" s="74" t="s">
        <v>18</v>
      </c>
      <c r="F57" s="75" t="s">
        <v>176</v>
      </c>
      <c r="G57" s="76" t="s">
        <v>20</v>
      </c>
      <c r="H57" s="74" t="s">
        <v>177</v>
      </c>
      <c r="I57" s="72" t="s">
        <v>18</v>
      </c>
      <c r="J57" s="77"/>
      <c r="K57" s="72"/>
      <c r="L57" s="101" t="s">
        <v>47</v>
      </c>
      <c r="M57" s="102" t="s">
        <v>47</v>
      </c>
      <c r="N57" s="103" t="s">
        <v>47</v>
      </c>
      <c r="O57" s="103" t="s">
        <v>47</v>
      </c>
      <c r="P57" s="78"/>
      <c r="Q57" s="78"/>
      <c r="R57" s="79"/>
    </row>
    <row r="58" spans="1:18" ht="43.5" customHeight="1" x14ac:dyDescent="0.35">
      <c r="A58" s="9">
        <v>53</v>
      </c>
      <c r="B58" s="9" t="s">
        <v>115</v>
      </c>
      <c r="C58" s="7" t="s">
        <v>178</v>
      </c>
      <c r="D58" s="5" t="s">
        <v>179</v>
      </c>
      <c r="E58" s="37" t="s">
        <v>89</v>
      </c>
      <c r="F58" s="35" t="s">
        <v>180</v>
      </c>
      <c r="G58" s="62" t="s">
        <v>20</v>
      </c>
      <c r="H58" s="37" t="s">
        <v>181</v>
      </c>
      <c r="I58" s="9" t="s">
        <v>182</v>
      </c>
      <c r="J58" s="80"/>
      <c r="K58" s="9" t="s">
        <v>183</v>
      </c>
      <c r="L58" s="99" t="s">
        <v>47</v>
      </c>
      <c r="M58" s="97" t="s">
        <v>47</v>
      </c>
      <c r="N58" s="100" t="s">
        <v>47</v>
      </c>
      <c r="O58" s="100" t="s">
        <v>47</v>
      </c>
      <c r="P58" s="81"/>
      <c r="Q58" s="81"/>
      <c r="R58" s="71"/>
    </row>
    <row r="59" spans="1:18" ht="43.5" customHeight="1" x14ac:dyDescent="0.35">
      <c r="A59" s="9">
        <v>54</v>
      </c>
      <c r="B59" s="9" t="s">
        <v>115</v>
      </c>
      <c r="C59" s="7" t="s">
        <v>184</v>
      </c>
      <c r="D59" s="5" t="s">
        <v>185</v>
      </c>
      <c r="E59" s="37" t="s">
        <v>89</v>
      </c>
      <c r="F59" s="35">
        <v>45979</v>
      </c>
      <c r="G59" s="62" t="s">
        <v>20</v>
      </c>
      <c r="H59" s="35">
        <v>47805</v>
      </c>
      <c r="I59" s="9" t="s">
        <v>101</v>
      </c>
      <c r="J59" s="80"/>
      <c r="K59" s="9"/>
      <c r="L59" s="99" t="s">
        <v>47</v>
      </c>
      <c r="M59" s="97" t="s">
        <v>47</v>
      </c>
      <c r="N59" s="35">
        <v>47805</v>
      </c>
      <c r="O59" s="9" t="s">
        <v>101</v>
      </c>
      <c r="P59" s="81"/>
      <c r="Q59" s="81"/>
      <c r="R59" s="71"/>
    </row>
    <row r="60" spans="1:18" ht="43.5" customHeight="1" x14ac:dyDescent="0.35">
      <c r="A60" s="9">
        <v>55</v>
      </c>
      <c r="B60" s="9" t="s">
        <v>115</v>
      </c>
      <c r="C60" s="7" t="s">
        <v>186</v>
      </c>
      <c r="D60" s="5" t="s">
        <v>187</v>
      </c>
      <c r="E60" s="37" t="s">
        <v>89</v>
      </c>
      <c r="F60" s="35">
        <v>45979</v>
      </c>
      <c r="G60" s="62" t="s">
        <v>20</v>
      </c>
      <c r="H60" s="35">
        <v>47805</v>
      </c>
      <c r="I60" s="9" t="s">
        <v>101</v>
      </c>
      <c r="J60" s="80"/>
      <c r="K60" s="9"/>
      <c r="L60" s="99" t="s">
        <v>47</v>
      </c>
      <c r="M60" s="97" t="s">
        <v>47</v>
      </c>
      <c r="N60" s="35">
        <v>47805</v>
      </c>
      <c r="O60" s="9" t="s">
        <v>101</v>
      </c>
      <c r="P60" s="81"/>
      <c r="Q60" s="81"/>
      <c r="R60" s="71"/>
    </row>
    <row r="61" spans="1:18" ht="43.5" customHeight="1" x14ac:dyDescent="0.35">
      <c r="A61" s="9">
        <v>56</v>
      </c>
      <c r="B61" s="9" t="s">
        <v>115</v>
      </c>
      <c r="C61" s="7" t="s">
        <v>188</v>
      </c>
      <c r="D61" s="5" t="s">
        <v>189</v>
      </c>
      <c r="E61" s="37" t="s">
        <v>89</v>
      </c>
      <c r="F61" s="35">
        <v>45979</v>
      </c>
      <c r="G61" s="62" t="s">
        <v>20</v>
      </c>
      <c r="H61" s="35">
        <v>47805</v>
      </c>
      <c r="I61" s="9" t="s">
        <v>101</v>
      </c>
      <c r="J61" s="80"/>
      <c r="K61" s="9"/>
      <c r="L61" s="99" t="s">
        <v>47</v>
      </c>
      <c r="M61" s="97" t="s">
        <v>47</v>
      </c>
      <c r="N61" s="35">
        <v>47805</v>
      </c>
      <c r="O61" s="9" t="s">
        <v>101</v>
      </c>
      <c r="P61" s="81"/>
      <c r="Q61" s="81"/>
      <c r="R61" s="71"/>
    </row>
    <row r="62" spans="1:18" ht="43.5" customHeight="1" x14ac:dyDescent="0.35">
      <c r="A62" s="9">
        <v>57</v>
      </c>
      <c r="B62" s="9" t="s">
        <v>115</v>
      </c>
      <c r="C62" s="7" t="s">
        <v>190</v>
      </c>
      <c r="D62" s="5" t="s">
        <v>191</v>
      </c>
      <c r="E62" s="37" t="s">
        <v>89</v>
      </c>
      <c r="F62" s="35">
        <v>45979</v>
      </c>
      <c r="G62" s="62" t="s">
        <v>20</v>
      </c>
      <c r="H62" s="35">
        <v>47805</v>
      </c>
      <c r="I62" s="9" t="s">
        <v>101</v>
      </c>
      <c r="J62" s="80"/>
      <c r="K62" s="9"/>
      <c r="L62" s="99" t="s">
        <v>47</v>
      </c>
      <c r="M62" s="97" t="s">
        <v>47</v>
      </c>
      <c r="N62" s="35">
        <v>47805</v>
      </c>
      <c r="O62" s="9" t="s">
        <v>101</v>
      </c>
      <c r="P62" s="81"/>
      <c r="Q62" s="81"/>
      <c r="R62" s="71"/>
    </row>
    <row r="63" spans="1:18" ht="43.5" customHeight="1" x14ac:dyDescent="0.35">
      <c r="A63" s="9">
        <v>58</v>
      </c>
      <c r="B63" s="9" t="s">
        <v>192</v>
      </c>
      <c r="C63" s="7" t="s">
        <v>193</v>
      </c>
      <c r="D63" s="7" t="s">
        <v>194</v>
      </c>
      <c r="E63" s="9" t="s">
        <v>18</v>
      </c>
      <c r="F63" s="62" t="s">
        <v>160</v>
      </c>
      <c r="G63" s="66" t="s">
        <v>20</v>
      </c>
      <c r="H63" s="62" t="s">
        <v>195</v>
      </c>
      <c r="I63" s="9" t="s">
        <v>22</v>
      </c>
      <c r="J63" s="67">
        <v>2500000</v>
      </c>
      <c r="K63" s="88" t="s">
        <v>119</v>
      </c>
      <c r="L63" s="99" t="s">
        <v>47</v>
      </c>
      <c r="M63" s="97" t="s">
        <v>47</v>
      </c>
      <c r="N63" s="100" t="s">
        <v>47</v>
      </c>
      <c r="O63" s="9" t="s">
        <v>22</v>
      </c>
      <c r="P63" s="126">
        <v>2500000</v>
      </c>
      <c r="Q63" s="46"/>
      <c r="R63" s="61" t="s">
        <v>196</v>
      </c>
    </row>
    <row r="64" spans="1:18" ht="43.5" customHeight="1" x14ac:dyDescent="0.35">
      <c r="A64" s="9">
        <v>59</v>
      </c>
      <c r="B64" s="9" t="s">
        <v>192</v>
      </c>
      <c r="C64" s="7" t="s">
        <v>193</v>
      </c>
      <c r="D64" s="7" t="s">
        <v>197</v>
      </c>
      <c r="E64" s="9" t="s">
        <v>18</v>
      </c>
      <c r="F64" s="62" t="s">
        <v>160</v>
      </c>
      <c r="G64" s="66" t="s">
        <v>20</v>
      </c>
      <c r="H64" s="62" t="s">
        <v>195</v>
      </c>
      <c r="I64" s="9" t="s">
        <v>22</v>
      </c>
      <c r="J64" s="67">
        <v>2500000</v>
      </c>
      <c r="K64" s="88" t="s">
        <v>119</v>
      </c>
      <c r="L64" s="99" t="s">
        <v>47</v>
      </c>
      <c r="M64" s="97" t="s">
        <v>47</v>
      </c>
      <c r="N64" s="100" t="s">
        <v>47</v>
      </c>
      <c r="O64" s="9" t="s">
        <v>22</v>
      </c>
      <c r="P64" s="126">
        <v>2500000</v>
      </c>
      <c r="Q64" s="46"/>
      <c r="R64" s="61" t="s">
        <v>196</v>
      </c>
    </row>
    <row r="65" spans="1:18" ht="43.5" customHeight="1" x14ac:dyDescent="0.35">
      <c r="A65" s="9">
        <v>60</v>
      </c>
      <c r="B65" s="9" t="s">
        <v>192</v>
      </c>
      <c r="C65" s="7" t="s">
        <v>198</v>
      </c>
      <c r="D65" s="7" t="s">
        <v>199</v>
      </c>
      <c r="E65" s="9" t="s">
        <v>18</v>
      </c>
      <c r="F65" s="62" t="s">
        <v>160</v>
      </c>
      <c r="G65" s="66" t="s">
        <v>20</v>
      </c>
      <c r="H65" s="62" t="s">
        <v>195</v>
      </c>
      <c r="I65" s="9" t="s">
        <v>22</v>
      </c>
      <c r="J65" s="67">
        <v>3500000</v>
      </c>
      <c r="K65" s="88" t="s">
        <v>119</v>
      </c>
      <c r="L65" s="99" t="s">
        <v>47</v>
      </c>
      <c r="M65" s="97" t="s">
        <v>47</v>
      </c>
      <c r="N65" s="100" t="s">
        <v>47</v>
      </c>
      <c r="O65" s="9" t="s">
        <v>22</v>
      </c>
      <c r="P65" s="126">
        <v>3500000</v>
      </c>
      <c r="Q65" s="46"/>
      <c r="R65" s="61" t="s">
        <v>196</v>
      </c>
    </row>
    <row r="66" spans="1:18" ht="43.5" customHeight="1" x14ac:dyDescent="0.35">
      <c r="A66" s="9">
        <v>61</v>
      </c>
      <c r="B66" s="9" t="s">
        <v>192</v>
      </c>
      <c r="C66" s="7" t="s">
        <v>200</v>
      </c>
      <c r="D66" s="7" t="s">
        <v>201</v>
      </c>
      <c r="E66" s="9" t="s">
        <v>18</v>
      </c>
      <c r="F66" s="62" t="s">
        <v>160</v>
      </c>
      <c r="G66" s="66" t="s">
        <v>20</v>
      </c>
      <c r="H66" s="62" t="s">
        <v>195</v>
      </c>
      <c r="I66" s="9" t="s">
        <v>22</v>
      </c>
      <c r="J66" s="67">
        <v>3500000</v>
      </c>
      <c r="K66" s="88" t="s">
        <v>119</v>
      </c>
      <c r="L66" s="99" t="s">
        <v>47</v>
      </c>
      <c r="M66" s="97" t="s">
        <v>47</v>
      </c>
      <c r="N66" s="100" t="s">
        <v>47</v>
      </c>
      <c r="O66" s="9" t="s">
        <v>22</v>
      </c>
      <c r="P66" s="126">
        <v>3500000</v>
      </c>
      <c r="Q66" s="46"/>
      <c r="R66" s="61" t="s">
        <v>196</v>
      </c>
    </row>
    <row r="67" spans="1:18" ht="43.5" customHeight="1" x14ac:dyDescent="0.35">
      <c r="A67" s="9">
        <v>62</v>
      </c>
      <c r="B67" s="9" t="s">
        <v>192</v>
      </c>
      <c r="C67" s="7" t="s">
        <v>202</v>
      </c>
      <c r="D67" s="7" t="s">
        <v>203</v>
      </c>
      <c r="E67" s="9" t="s">
        <v>18</v>
      </c>
      <c r="F67" s="62" t="s">
        <v>160</v>
      </c>
      <c r="G67" s="66" t="s">
        <v>20</v>
      </c>
      <c r="H67" s="62" t="s">
        <v>195</v>
      </c>
      <c r="I67" s="9" t="s">
        <v>22</v>
      </c>
      <c r="J67" s="67">
        <v>2750000</v>
      </c>
      <c r="K67" s="88" t="s">
        <v>119</v>
      </c>
      <c r="L67" s="99" t="s">
        <v>47</v>
      </c>
      <c r="M67" s="97" t="s">
        <v>47</v>
      </c>
      <c r="N67" s="100" t="s">
        <v>47</v>
      </c>
      <c r="O67" s="9" t="s">
        <v>22</v>
      </c>
      <c r="P67" s="126">
        <v>2750000</v>
      </c>
      <c r="Q67" s="46"/>
      <c r="R67" s="61" t="s">
        <v>196</v>
      </c>
    </row>
    <row r="68" spans="1:18" ht="43.5" customHeight="1" x14ac:dyDescent="0.35">
      <c r="A68" s="9">
        <v>63</v>
      </c>
      <c r="B68" s="9" t="s">
        <v>192</v>
      </c>
      <c r="C68" s="7" t="s">
        <v>204</v>
      </c>
      <c r="D68" s="7" t="s">
        <v>205</v>
      </c>
      <c r="E68" s="9" t="s">
        <v>18</v>
      </c>
      <c r="F68" s="9" t="s">
        <v>206</v>
      </c>
      <c r="G68" s="62" t="s">
        <v>20</v>
      </c>
      <c r="H68" s="62" t="s">
        <v>91</v>
      </c>
      <c r="I68" s="9" t="s">
        <v>58</v>
      </c>
      <c r="J68" s="67">
        <v>4500000</v>
      </c>
      <c r="K68" s="88" t="s">
        <v>119</v>
      </c>
      <c r="L68" s="99" t="s">
        <v>47</v>
      </c>
      <c r="M68" s="97" t="s">
        <v>47</v>
      </c>
      <c r="N68" s="100" t="s">
        <v>47</v>
      </c>
      <c r="O68" s="9" t="s">
        <v>58</v>
      </c>
      <c r="P68" s="126">
        <v>4500000</v>
      </c>
      <c r="Q68" s="46"/>
      <c r="R68" s="61" t="s">
        <v>196</v>
      </c>
    </row>
    <row r="69" spans="1:18" ht="43.5" customHeight="1" x14ac:dyDescent="0.35">
      <c r="A69" s="9">
        <v>64</v>
      </c>
      <c r="B69" s="9" t="s">
        <v>192</v>
      </c>
      <c r="C69" s="8" t="s">
        <v>207</v>
      </c>
      <c r="D69" s="8" t="s">
        <v>208</v>
      </c>
      <c r="E69" s="25" t="s">
        <v>18</v>
      </c>
      <c r="F69" s="62" t="s">
        <v>160</v>
      </c>
      <c r="G69" s="66" t="s">
        <v>20</v>
      </c>
      <c r="H69" s="62" t="s">
        <v>195</v>
      </c>
      <c r="I69" s="25" t="s">
        <v>22</v>
      </c>
      <c r="J69" s="53">
        <v>4500000</v>
      </c>
      <c r="K69" s="88" t="s">
        <v>119</v>
      </c>
      <c r="L69" s="99" t="s">
        <v>47</v>
      </c>
      <c r="M69" s="97" t="s">
        <v>47</v>
      </c>
      <c r="N69" s="100" t="s">
        <v>47</v>
      </c>
      <c r="O69" s="25" t="s">
        <v>22</v>
      </c>
      <c r="P69" s="127">
        <v>4500000</v>
      </c>
      <c r="Q69" s="46"/>
      <c r="R69" s="61" t="s">
        <v>196</v>
      </c>
    </row>
    <row r="70" spans="1:18" ht="43.5" customHeight="1" x14ac:dyDescent="0.35">
      <c r="A70" s="9">
        <v>65</v>
      </c>
      <c r="B70" s="9" t="s">
        <v>192</v>
      </c>
      <c r="C70" s="7" t="s">
        <v>209</v>
      </c>
      <c r="D70" s="7" t="s">
        <v>210</v>
      </c>
      <c r="E70" s="9" t="s">
        <v>18</v>
      </c>
      <c r="F70" s="36" t="s">
        <v>211</v>
      </c>
      <c r="G70" s="62" t="s">
        <v>20</v>
      </c>
      <c r="H70" s="66" t="s">
        <v>142</v>
      </c>
      <c r="I70" s="9" t="s">
        <v>58</v>
      </c>
      <c r="J70" s="139">
        <v>67500000</v>
      </c>
      <c r="K70" s="88" t="s">
        <v>119</v>
      </c>
      <c r="L70" s="99" t="s">
        <v>47</v>
      </c>
      <c r="M70" s="97" t="s">
        <v>47</v>
      </c>
      <c r="N70" s="100" t="s">
        <v>47</v>
      </c>
      <c r="O70" s="9" t="s">
        <v>58</v>
      </c>
      <c r="P70" s="135">
        <v>67500000</v>
      </c>
      <c r="Q70" s="41"/>
      <c r="R70" s="71" t="s">
        <v>212</v>
      </c>
    </row>
    <row r="71" spans="1:18" ht="43.5" customHeight="1" x14ac:dyDescent="0.35">
      <c r="A71" s="9">
        <v>66</v>
      </c>
      <c r="B71" s="9" t="s">
        <v>192</v>
      </c>
      <c r="C71" s="7" t="s">
        <v>213</v>
      </c>
      <c r="D71" s="7" t="s">
        <v>214</v>
      </c>
      <c r="E71" s="9" t="s">
        <v>18</v>
      </c>
      <c r="F71" s="36" t="s">
        <v>211</v>
      </c>
      <c r="G71" s="62" t="s">
        <v>20</v>
      </c>
      <c r="H71" s="66" t="s">
        <v>142</v>
      </c>
      <c r="I71" s="9" t="s">
        <v>58</v>
      </c>
      <c r="J71" s="140"/>
      <c r="K71" s="88" t="s">
        <v>119</v>
      </c>
      <c r="L71" s="99" t="s">
        <v>47</v>
      </c>
      <c r="M71" s="97" t="s">
        <v>47</v>
      </c>
      <c r="N71" s="100" t="s">
        <v>47</v>
      </c>
      <c r="O71" s="9" t="s">
        <v>58</v>
      </c>
      <c r="P71" s="136"/>
      <c r="Q71" s="41"/>
      <c r="R71" s="71" t="s">
        <v>212</v>
      </c>
    </row>
    <row r="72" spans="1:18" ht="43.5" customHeight="1" x14ac:dyDescent="0.35">
      <c r="A72" s="9">
        <v>67</v>
      </c>
      <c r="B72" s="9" t="s">
        <v>192</v>
      </c>
      <c r="C72" s="7" t="s">
        <v>215</v>
      </c>
      <c r="D72" s="7" t="s">
        <v>216</v>
      </c>
      <c r="E72" s="9" t="s">
        <v>18</v>
      </c>
      <c r="F72" s="36" t="s">
        <v>211</v>
      </c>
      <c r="G72" s="62" t="s">
        <v>20</v>
      </c>
      <c r="H72" s="66" t="s">
        <v>142</v>
      </c>
      <c r="I72" s="9" t="s">
        <v>58</v>
      </c>
      <c r="J72" s="141"/>
      <c r="K72" s="88" t="s">
        <v>119</v>
      </c>
      <c r="L72" s="99" t="s">
        <v>47</v>
      </c>
      <c r="M72" s="97" t="s">
        <v>47</v>
      </c>
      <c r="N72" s="100" t="s">
        <v>47</v>
      </c>
      <c r="O72" s="9" t="s">
        <v>58</v>
      </c>
      <c r="P72" s="137"/>
      <c r="Q72" s="41"/>
      <c r="R72" s="71" t="s">
        <v>212</v>
      </c>
    </row>
    <row r="73" spans="1:18" ht="43.5" customHeight="1" x14ac:dyDescent="0.35">
      <c r="A73" s="9">
        <v>68</v>
      </c>
      <c r="B73" s="9" t="s">
        <v>192</v>
      </c>
      <c r="C73" s="7" t="s">
        <v>217</v>
      </c>
      <c r="D73" s="7" t="s">
        <v>218</v>
      </c>
      <c r="E73" s="9" t="s">
        <v>18</v>
      </c>
      <c r="F73" s="62" t="s">
        <v>141</v>
      </c>
      <c r="G73" s="66" t="s">
        <v>20</v>
      </c>
      <c r="H73" s="62" t="s">
        <v>142</v>
      </c>
      <c r="I73" s="9" t="s">
        <v>22</v>
      </c>
      <c r="J73" s="64">
        <v>52000000</v>
      </c>
      <c r="K73" s="88" t="s">
        <v>119</v>
      </c>
      <c r="L73" s="99" t="s">
        <v>47</v>
      </c>
      <c r="M73" s="128"/>
      <c r="N73" s="100" t="s">
        <v>47</v>
      </c>
      <c r="O73" s="9" t="s">
        <v>22</v>
      </c>
      <c r="P73" s="125">
        <v>52000000</v>
      </c>
      <c r="Q73" s="42"/>
      <c r="R73" s="71" t="s">
        <v>27</v>
      </c>
    </row>
    <row r="74" spans="1:18" ht="43.5" customHeight="1" x14ac:dyDescent="0.35">
      <c r="A74" s="9">
        <v>69</v>
      </c>
      <c r="B74" s="9" t="s">
        <v>192</v>
      </c>
      <c r="C74" s="7" t="s">
        <v>219</v>
      </c>
      <c r="D74" s="7" t="s">
        <v>220</v>
      </c>
      <c r="E74" s="9" t="s">
        <v>89</v>
      </c>
      <c r="F74" s="62" t="s">
        <v>221</v>
      </c>
      <c r="G74" s="62" t="s">
        <v>20</v>
      </c>
      <c r="H74" s="62" t="s">
        <v>45</v>
      </c>
      <c r="I74" s="9" t="s">
        <v>22</v>
      </c>
      <c r="J74" s="64">
        <v>70000000</v>
      </c>
      <c r="K74" s="89" t="s">
        <v>46</v>
      </c>
      <c r="L74" s="99" t="s">
        <v>47</v>
      </c>
      <c r="M74" s="97" t="s">
        <v>149</v>
      </c>
      <c r="N74" s="100" t="s">
        <v>47</v>
      </c>
      <c r="O74" s="100" t="s">
        <v>147</v>
      </c>
      <c r="P74" s="41">
        <v>70000000</v>
      </c>
      <c r="Q74" s="42"/>
      <c r="R74" s="71" t="s">
        <v>27</v>
      </c>
    </row>
    <row r="75" spans="1:18" ht="65.5" customHeight="1" x14ac:dyDescent="0.35">
      <c r="A75" s="9">
        <v>70</v>
      </c>
      <c r="B75" s="9" t="s">
        <v>192</v>
      </c>
      <c r="C75" s="10" t="s">
        <v>222</v>
      </c>
      <c r="D75" s="10" t="s">
        <v>223</v>
      </c>
      <c r="E75" s="18" t="s">
        <v>89</v>
      </c>
      <c r="F75" s="18" t="s">
        <v>224</v>
      </c>
      <c r="G75" s="62" t="s">
        <v>20</v>
      </c>
      <c r="H75" s="18" t="s">
        <v>225</v>
      </c>
      <c r="I75" s="9" t="s">
        <v>226</v>
      </c>
      <c r="J75" s="139">
        <v>38000000</v>
      </c>
      <c r="K75" s="9" t="s">
        <v>227</v>
      </c>
      <c r="L75" s="95" t="s">
        <v>47</v>
      </c>
      <c r="M75" s="97" t="s">
        <v>47</v>
      </c>
      <c r="N75" s="96" t="s">
        <v>47</v>
      </c>
      <c r="O75" s="96" t="s">
        <v>47</v>
      </c>
      <c r="P75" s="40"/>
      <c r="Q75" s="40"/>
      <c r="R75" s="61" t="s">
        <v>170</v>
      </c>
    </row>
    <row r="76" spans="1:18" ht="65.5" customHeight="1" x14ac:dyDescent="0.35">
      <c r="A76" s="9">
        <v>71</v>
      </c>
      <c r="B76" s="9" t="s">
        <v>192</v>
      </c>
      <c r="C76" s="10" t="s">
        <v>228</v>
      </c>
      <c r="D76" s="10" t="s">
        <v>229</v>
      </c>
      <c r="E76" s="18" t="s">
        <v>89</v>
      </c>
      <c r="F76" s="18" t="s">
        <v>224</v>
      </c>
      <c r="G76" s="62" t="s">
        <v>20</v>
      </c>
      <c r="H76" s="18" t="s">
        <v>230</v>
      </c>
      <c r="I76" s="9" t="s">
        <v>226</v>
      </c>
      <c r="J76" s="141"/>
      <c r="K76" s="9" t="s">
        <v>231</v>
      </c>
      <c r="L76" s="95" t="s">
        <v>47</v>
      </c>
      <c r="M76" s="97" t="s">
        <v>47</v>
      </c>
      <c r="N76" s="96" t="s">
        <v>47</v>
      </c>
      <c r="O76" s="96" t="s">
        <v>47</v>
      </c>
      <c r="P76" s="40"/>
      <c r="Q76" s="40"/>
      <c r="R76" s="61" t="s">
        <v>170</v>
      </c>
    </row>
    <row r="77" spans="1:18" ht="43.5" customHeight="1" x14ac:dyDescent="0.35">
      <c r="A77" s="9">
        <v>72</v>
      </c>
      <c r="B77" s="9" t="s">
        <v>192</v>
      </c>
      <c r="C77" s="7" t="s">
        <v>232</v>
      </c>
      <c r="D77" s="7" t="s">
        <v>233</v>
      </c>
      <c r="E77" s="9" t="s">
        <v>89</v>
      </c>
      <c r="F77" s="9" t="s">
        <v>234</v>
      </c>
      <c r="G77" s="62" t="s">
        <v>20</v>
      </c>
      <c r="H77" s="9" t="s">
        <v>235</v>
      </c>
      <c r="I77" s="9" t="s">
        <v>236</v>
      </c>
      <c r="J77" s="55">
        <v>1000000000</v>
      </c>
      <c r="K77" s="63"/>
      <c r="L77" s="104" t="s">
        <v>47</v>
      </c>
      <c r="M77" s="97" t="s">
        <v>47</v>
      </c>
      <c r="N77" s="97" t="s">
        <v>47</v>
      </c>
      <c r="O77" s="97" t="s">
        <v>47</v>
      </c>
      <c r="P77" s="44"/>
      <c r="Q77" s="44"/>
      <c r="R77" s="61" t="s">
        <v>237</v>
      </c>
    </row>
    <row r="78" spans="1:18" ht="43.5" customHeight="1" x14ac:dyDescent="0.35">
      <c r="A78" s="9">
        <v>73</v>
      </c>
      <c r="B78" s="9" t="s">
        <v>238</v>
      </c>
      <c r="C78" s="7" t="s">
        <v>239</v>
      </c>
      <c r="D78" s="7" t="s">
        <v>240</v>
      </c>
      <c r="E78" s="9" t="s">
        <v>18</v>
      </c>
      <c r="F78" s="9" t="s">
        <v>134</v>
      </c>
      <c r="G78" s="62" t="s">
        <v>20</v>
      </c>
      <c r="H78" s="9" t="s">
        <v>241</v>
      </c>
      <c r="I78" s="9" t="s">
        <v>147</v>
      </c>
      <c r="J78" s="7"/>
      <c r="K78" s="124" t="s">
        <v>242</v>
      </c>
      <c r="L78" s="104" t="s">
        <v>47</v>
      </c>
      <c r="M78" s="97" t="s">
        <v>47</v>
      </c>
      <c r="N78" s="97" t="s">
        <v>47</v>
      </c>
      <c r="O78" s="97" t="s">
        <v>22</v>
      </c>
      <c r="P78" s="125">
        <v>7200000</v>
      </c>
      <c r="Q78" s="2"/>
      <c r="R78" s="71" t="s">
        <v>27</v>
      </c>
    </row>
    <row r="79" spans="1:18" ht="43.5" customHeight="1" x14ac:dyDescent="0.35">
      <c r="A79" s="9">
        <v>74</v>
      </c>
      <c r="B79" s="9" t="s">
        <v>238</v>
      </c>
      <c r="C79" s="7" t="s">
        <v>243</v>
      </c>
      <c r="D79" s="7" t="s">
        <v>244</v>
      </c>
      <c r="E79" s="9" t="s">
        <v>18</v>
      </c>
      <c r="F79" s="9" t="s">
        <v>134</v>
      </c>
      <c r="G79" s="62" t="s">
        <v>20</v>
      </c>
      <c r="H79" s="9" t="s">
        <v>241</v>
      </c>
      <c r="I79" s="9" t="s">
        <v>147</v>
      </c>
      <c r="J79" s="7"/>
      <c r="K79" s="132" t="s">
        <v>242</v>
      </c>
      <c r="L79" s="104" t="s">
        <v>47</v>
      </c>
      <c r="M79" s="97" t="s">
        <v>47</v>
      </c>
      <c r="N79" s="97" t="s">
        <v>47</v>
      </c>
      <c r="O79" s="97" t="s">
        <v>22</v>
      </c>
      <c r="P79" s="125">
        <v>8500000</v>
      </c>
      <c r="Q79" s="2"/>
      <c r="R79" s="71" t="s">
        <v>27</v>
      </c>
    </row>
    <row r="80" spans="1:18" ht="43.5" customHeight="1" x14ac:dyDescent="0.35">
      <c r="A80" s="9">
        <v>75</v>
      </c>
      <c r="B80" s="9" t="s">
        <v>238</v>
      </c>
      <c r="C80" s="7" t="s">
        <v>245</v>
      </c>
      <c r="D80" s="7" t="s">
        <v>246</v>
      </c>
      <c r="E80" s="9" t="s">
        <v>18</v>
      </c>
      <c r="F80" s="9" t="s">
        <v>134</v>
      </c>
      <c r="G80" s="62" t="s">
        <v>20</v>
      </c>
      <c r="H80" s="9" t="s">
        <v>241</v>
      </c>
      <c r="I80" s="9" t="s">
        <v>147</v>
      </c>
      <c r="J80" s="114"/>
      <c r="K80" s="131" t="s">
        <v>242</v>
      </c>
      <c r="L80" s="97" t="s">
        <v>47</v>
      </c>
      <c r="M80" s="97" t="s">
        <v>47</v>
      </c>
      <c r="N80" s="97" t="s">
        <v>47</v>
      </c>
      <c r="O80" s="97" t="s">
        <v>22</v>
      </c>
      <c r="P80" s="125">
        <v>5200000</v>
      </c>
      <c r="Q80" s="2"/>
      <c r="R80" s="71" t="s">
        <v>27</v>
      </c>
    </row>
    <row r="81" spans="1:18" ht="43.5" customHeight="1" x14ac:dyDescent="0.35">
      <c r="A81" s="9">
        <v>76</v>
      </c>
      <c r="B81" s="9" t="s">
        <v>247</v>
      </c>
      <c r="C81" s="7" t="s">
        <v>248</v>
      </c>
      <c r="D81" s="7" t="s">
        <v>249</v>
      </c>
      <c r="E81" s="9" t="s">
        <v>18</v>
      </c>
      <c r="F81" s="9" t="s">
        <v>250</v>
      </c>
      <c r="G81" s="62" t="s">
        <v>20</v>
      </c>
      <c r="H81" s="9" t="s">
        <v>251</v>
      </c>
      <c r="I81" s="9" t="s">
        <v>147</v>
      </c>
      <c r="J81" s="114"/>
      <c r="K81" s="131" t="s">
        <v>242</v>
      </c>
      <c r="L81" s="115"/>
      <c r="M81" s="130"/>
      <c r="N81" s="35"/>
      <c r="O81" s="97" t="s">
        <v>22</v>
      </c>
      <c r="P81" s="125">
        <v>5200000</v>
      </c>
      <c r="Q81" s="2"/>
      <c r="R81" s="71" t="s">
        <v>27</v>
      </c>
    </row>
    <row r="82" spans="1:18" ht="43.5" customHeight="1" x14ac:dyDescent="0.35">
      <c r="A82" s="9">
        <v>77</v>
      </c>
      <c r="B82" s="9" t="s">
        <v>252</v>
      </c>
      <c r="C82" s="7" t="s">
        <v>245</v>
      </c>
      <c r="D82" s="7" t="s">
        <v>253</v>
      </c>
      <c r="E82" s="9" t="s">
        <v>18</v>
      </c>
      <c r="F82" s="9" t="s">
        <v>254</v>
      </c>
      <c r="G82" s="62" t="s">
        <v>20</v>
      </c>
      <c r="H82" s="9" t="s">
        <v>255</v>
      </c>
      <c r="I82" s="9" t="s">
        <v>147</v>
      </c>
      <c r="J82" s="114"/>
      <c r="K82" s="131" t="s">
        <v>242</v>
      </c>
      <c r="L82" s="97" t="s">
        <v>47</v>
      </c>
      <c r="M82" s="97" t="s">
        <v>47</v>
      </c>
      <c r="N82" s="97" t="s">
        <v>47</v>
      </c>
      <c r="O82" s="97" t="s">
        <v>22</v>
      </c>
      <c r="P82" s="125">
        <v>5200000</v>
      </c>
      <c r="Q82" s="2"/>
      <c r="R82" s="71" t="s">
        <v>27</v>
      </c>
    </row>
    <row r="83" spans="1:18" ht="43.5" customHeight="1" x14ac:dyDescent="0.35">
      <c r="A83" s="9">
        <v>78</v>
      </c>
      <c r="B83" s="9" t="s">
        <v>252</v>
      </c>
      <c r="C83" s="5" t="s">
        <v>256</v>
      </c>
      <c r="D83" s="5" t="s">
        <v>257</v>
      </c>
      <c r="E83" s="9" t="s">
        <v>112</v>
      </c>
      <c r="F83" s="36" t="s">
        <v>258</v>
      </c>
      <c r="G83" s="62" t="s">
        <v>20</v>
      </c>
      <c r="H83" s="35">
        <v>49576</v>
      </c>
      <c r="I83" s="9" t="s">
        <v>112</v>
      </c>
      <c r="J83" s="7"/>
      <c r="K83" s="11"/>
      <c r="L83" s="104" t="s">
        <v>47</v>
      </c>
      <c r="M83" s="97" t="s">
        <v>47</v>
      </c>
      <c r="N83" s="97" t="s">
        <v>47</v>
      </c>
      <c r="O83" s="97" t="s">
        <v>47</v>
      </c>
      <c r="P83" s="2"/>
      <c r="Q83" s="2"/>
      <c r="R83" s="71"/>
    </row>
    <row r="84" spans="1:18" ht="43.5" customHeight="1" x14ac:dyDescent="0.35">
      <c r="A84" s="9">
        <v>79</v>
      </c>
      <c r="B84" s="9" t="s">
        <v>259</v>
      </c>
      <c r="C84" s="7" t="s">
        <v>245</v>
      </c>
      <c r="D84" s="2"/>
      <c r="E84" s="1"/>
      <c r="F84" s="1"/>
      <c r="G84" s="7" t="s">
        <v>260</v>
      </c>
      <c r="H84" s="1"/>
      <c r="I84" s="2"/>
      <c r="J84" s="7"/>
      <c r="K84" s="1"/>
      <c r="L84" s="104" t="s">
        <v>47</v>
      </c>
      <c r="M84" s="97" t="s">
        <v>47</v>
      </c>
      <c r="N84" s="97" t="s">
        <v>47</v>
      </c>
      <c r="O84" s="97" t="s">
        <v>47</v>
      </c>
      <c r="P84" s="2"/>
      <c r="Q84" s="2"/>
      <c r="R84" s="2"/>
    </row>
    <row r="85" spans="1:18" ht="43.5" customHeight="1" x14ac:dyDescent="0.35">
      <c r="A85" s="9">
        <v>80</v>
      </c>
      <c r="B85" s="9" t="s">
        <v>261</v>
      </c>
      <c r="C85" s="7" t="s">
        <v>245</v>
      </c>
      <c r="D85" s="2"/>
      <c r="E85" s="1"/>
      <c r="F85" s="1"/>
      <c r="G85" s="7" t="s">
        <v>260</v>
      </c>
      <c r="H85" s="1"/>
      <c r="I85" s="2"/>
      <c r="J85" s="7"/>
      <c r="K85" s="1"/>
      <c r="L85" s="104" t="s">
        <v>47</v>
      </c>
      <c r="M85" s="105"/>
      <c r="N85" s="104" t="s">
        <v>47</v>
      </c>
      <c r="O85" s="97" t="s">
        <v>47</v>
      </c>
      <c r="P85" s="2"/>
      <c r="Q85" s="2"/>
      <c r="R85" s="2"/>
    </row>
    <row r="86" spans="1:18" ht="43.5" customHeight="1" x14ac:dyDescent="0.35">
      <c r="A86" s="9">
        <v>81</v>
      </c>
      <c r="B86" s="9"/>
      <c r="C86" s="8"/>
      <c r="D86" s="2"/>
      <c r="E86" s="1"/>
      <c r="F86" s="1"/>
      <c r="G86" s="2"/>
      <c r="H86" s="1"/>
      <c r="I86" s="2"/>
      <c r="J86" s="7"/>
      <c r="K86" s="1"/>
      <c r="L86" s="2"/>
      <c r="M86" s="62"/>
      <c r="N86" s="2"/>
      <c r="O86" s="2"/>
      <c r="P86" s="2"/>
      <c r="Q86" s="2"/>
      <c r="R86" s="2"/>
    </row>
    <row r="87" spans="1:18" ht="43.5" customHeight="1" x14ac:dyDescent="0.35">
      <c r="A87" s="9">
        <v>82</v>
      </c>
      <c r="D87" s="2"/>
      <c r="E87" s="1"/>
      <c r="F87" s="1"/>
      <c r="G87" s="2"/>
      <c r="H87" s="1"/>
      <c r="I87" s="2"/>
      <c r="J87" s="7"/>
      <c r="K87" s="1"/>
      <c r="L87" s="2"/>
      <c r="M87" s="62"/>
      <c r="N87" s="2"/>
      <c r="O87" s="2"/>
      <c r="P87" s="2"/>
      <c r="Q87" s="2"/>
      <c r="R87" s="2"/>
    </row>
    <row r="88" spans="1:18" ht="43.5" customHeight="1" x14ac:dyDescent="0.35">
      <c r="A88" s="9">
        <v>83</v>
      </c>
      <c r="B88" s="9"/>
      <c r="C88" s="8"/>
      <c r="D88" s="2"/>
      <c r="E88" s="1"/>
      <c r="F88" s="1"/>
      <c r="G88" s="2"/>
      <c r="H88" s="1"/>
      <c r="I88" s="2"/>
      <c r="J88" s="7"/>
      <c r="K88" s="1"/>
      <c r="L88" s="2"/>
      <c r="M88" s="62"/>
      <c r="N88" s="2"/>
      <c r="O88" s="2"/>
      <c r="P88" s="2"/>
      <c r="Q88" s="2"/>
      <c r="R88" s="2"/>
    </row>
    <row r="89" spans="1:18" ht="15.5" x14ac:dyDescent="0.35">
      <c r="I89" s="59" t="s">
        <v>262</v>
      </c>
      <c r="J89" s="58">
        <f>SUM(J6:J77)</f>
        <v>4586385000</v>
      </c>
    </row>
  </sheetData>
  <autoFilter ref="A5:R89" xr:uid="{43632BBE-DDBA-4B92-88B8-117C6D6AB7B5}"/>
  <mergeCells count="18">
    <mergeCell ref="P51:P52"/>
    <mergeCell ref="J53:J54"/>
    <mergeCell ref="P53:P54"/>
    <mergeCell ref="P70:P72"/>
    <mergeCell ref="A1:R1"/>
    <mergeCell ref="J70:J72"/>
    <mergeCell ref="J75:J76"/>
    <mergeCell ref="A3:R3"/>
    <mergeCell ref="F4:H4"/>
    <mergeCell ref="I4:I5"/>
    <mergeCell ref="J4:J5"/>
    <mergeCell ref="R4:R5"/>
    <mergeCell ref="O4:O5"/>
    <mergeCell ref="P4:P5"/>
    <mergeCell ref="K4:N4"/>
    <mergeCell ref="Q4:Q5"/>
    <mergeCell ref="P30:P31"/>
    <mergeCell ref="J51:J52"/>
  </mergeCells>
  <phoneticPr fontId="11" type="noConversion"/>
  <conditionalFormatting sqref="G6:G83">
    <cfRule type="containsText" dxfId="1" priority="3" operator="containsText" text="Done">
      <formula>NOT(ISERROR(SEARCH("Done",G6)))</formula>
    </cfRule>
  </conditionalFormatting>
  <conditionalFormatting sqref="M86:M88">
    <cfRule type="containsText" dxfId="0" priority="4" operator="containsText" text="Done">
      <formula>NOT(ISERROR(SEARCH("Done",M86)))</formula>
    </cfRule>
  </conditionalFormatting>
  <printOptions horizontalCentered="1"/>
  <pageMargins left="0" right="0" top="0" bottom="0" header="0.3" footer="0.3"/>
  <pageSetup paperSize="9" scale="6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showGridLines="0" zoomScale="85" zoomScaleNormal="85" workbookViewId="0">
      <pane xSplit="1" ySplit="5" topLeftCell="I27" activePane="bottomRight" state="frozen"/>
      <selection pane="topRight" activeCell="B1" sqref="B1"/>
      <selection pane="bottomLeft" activeCell="A5" sqref="A5"/>
      <selection pane="bottomRight" activeCell="M6" sqref="M6:M36"/>
    </sheetView>
  </sheetViews>
  <sheetFormatPr defaultColWidth="9.1796875" defaultRowHeight="21.75" customHeight="1" x14ac:dyDescent="0.35"/>
  <cols>
    <col min="1" max="1" width="4" style="19" customWidth="1"/>
    <col min="2" max="2" width="9.453125" style="17" customWidth="1"/>
    <col min="3" max="3" width="47.1796875" style="17" customWidth="1"/>
    <col min="4" max="4" width="22.54296875" style="17" customWidth="1"/>
    <col min="5" max="5" width="17.81640625" style="17" bestFit="1" customWidth="1"/>
    <col min="6" max="6" width="18.7265625" style="17" customWidth="1"/>
    <col min="7" max="7" width="38.54296875" style="17" customWidth="1"/>
    <col min="8" max="8" width="8.7265625" style="17" customWidth="1"/>
    <col min="9" max="9" width="17.1796875" style="17" customWidth="1"/>
    <col min="10" max="10" width="18.7265625" style="17" customWidth="1"/>
    <col min="11" max="11" width="38.54296875" style="17" customWidth="1"/>
    <col min="12" max="12" width="8.7265625" style="17" customWidth="1"/>
    <col min="13" max="13" width="17.1796875" style="17" customWidth="1"/>
    <col min="14" max="14" width="37.81640625" style="17" bestFit="1" customWidth="1"/>
    <col min="15" max="16384" width="9.1796875" style="17"/>
  </cols>
  <sheetData>
    <row r="1" spans="1:15" ht="21.75" customHeight="1" x14ac:dyDescent="0.35">
      <c r="A1" s="138" t="s">
        <v>0</v>
      </c>
      <c r="B1" s="138"/>
      <c r="C1" s="138"/>
      <c r="D1" s="138"/>
      <c r="E1" s="138"/>
      <c r="F1" s="138"/>
      <c r="G1" s="138"/>
      <c r="H1" s="16"/>
      <c r="L1" s="16"/>
    </row>
    <row r="2" spans="1:15" ht="21.75" customHeight="1" x14ac:dyDescent="0.35">
      <c r="A2" s="15"/>
      <c r="B2" s="15"/>
      <c r="C2" s="15"/>
      <c r="D2" s="15"/>
      <c r="E2" s="15"/>
      <c r="F2" s="15"/>
      <c r="G2" s="15"/>
      <c r="H2" s="15"/>
      <c r="J2" s="15"/>
      <c r="K2" s="15"/>
      <c r="L2" s="15"/>
    </row>
    <row r="3" spans="1:15" ht="21.75" customHeight="1" x14ac:dyDescent="0.35">
      <c r="A3" s="151" t="s">
        <v>263</v>
      </c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3"/>
    </row>
    <row r="4" spans="1:15" ht="21.75" customHeight="1" x14ac:dyDescent="0.35">
      <c r="A4" s="107"/>
      <c r="B4" s="108"/>
      <c r="C4" s="108"/>
      <c r="D4" s="108"/>
      <c r="E4" s="108"/>
      <c r="F4" s="154">
        <v>2025</v>
      </c>
      <c r="G4" s="155"/>
      <c r="H4" s="155"/>
      <c r="I4" s="155"/>
      <c r="J4" s="155"/>
      <c r="K4" s="156">
        <v>2026</v>
      </c>
      <c r="L4" s="156"/>
      <c r="M4" s="156"/>
      <c r="N4" s="156"/>
      <c r="O4" s="119"/>
    </row>
    <row r="5" spans="1:15" ht="21.75" customHeight="1" x14ac:dyDescent="0.35">
      <c r="A5" s="23" t="s">
        <v>6</v>
      </c>
      <c r="B5" s="23" t="s">
        <v>7</v>
      </c>
      <c r="C5" s="23" t="s">
        <v>8</v>
      </c>
      <c r="D5" s="23" t="s">
        <v>9</v>
      </c>
      <c r="E5" s="23" t="s">
        <v>10</v>
      </c>
      <c r="F5" s="117" t="s">
        <v>11</v>
      </c>
      <c r="G5" s="118" t="s">
        <v>13</v>
      </c>
      <c r="H5" s="117" t="s">
        <v>264</v>
      </c>
      <c r="I5" s="117" t="s">
        <v>3</v>
      </c>
      <c r="J5" s="117" t="s">
        <v>11</v>
      </c>
      <c r="K5" s="118" t="s">
        <v>13</v>
      </c>
      <c r="L5" s="117" t="s">
        <v>264</v>
      </c>
      <c r="M5" s="117" t="s">
        <v>3</v>
      </c>
      <c r="N5" s="117" t="s">
        <v>5</v>
      </c>
    </row>
    <row r="6" spans="1:15" ht="21.75" customHeight="1" x14ac:dyDescent="0.35">
      <c r="A6" s="9">
        <v>1</v>
      </c>
      <c r="B6" s="9" t="s">
        <v>15</v>
      </c>
      <c r="C6" s="7" t="s">
        <v>16</v>
      </c>
      <c r="D6" s="7" t="s">
        <v>17</v>
      </c>
      <c r="E6" s="32" t="s">
        <v>18</v>
      </c>
      <c r="F6" s="32" t="s">
        <v>19</v>
      </c>
      <c r="G6" s="32" t="s">
        <v>21</v>
      </c>
      <c r="H6" s="6" t="s">
        <v>22</v>
      </c>
      <c r="I6" s="39">
        <v>2875000</v>
      </c>
      <c r="J6" s="32" t="s">
        <v>19</v>
      </c>
      <c r="K6" s="32" t="s">
        <v>265</v>
      </c>
      <c r="L6" s="6" t="s">
        <v>22</v>
      </c>
      <c r="M6" s="91">
        <v>2446875</v>
      </c>
      <c r="N6" s="9" t="s">
        <v>266</v>
      </c>
    </row>
    <row r="7" spans="1:15" ht="21.75" customHeight="1" x14ac:dyDescent="0.35">
      <c r="A7" s="9">
        <v>2</v>
      </c>
      <c r="B7" s="9" t="s">
        <v>15</v>
      </c>
      <c r="C7" s="7" t="s">
        <v>28</v>
      </c>
      <c r="D7" s="7" t="s">
        <v>29</v>
      </c>
      <c r="E7" s="32" t="s">
        <v>18</v>
      </c>
      <c r="F7" s="32" t="s">
        <v>19</v>
      </c>
      <c r="G7" s="32" t="s">
        <v>21</v>
      </c>
      <c r="H7" s="6" t="s">
        <v>22</v>
      </c>
      <c r="I7" s="39">
        <v>2875000</v>
      </c>
      <c r="J7" s="32" t="s">
        <v>19</v>
      </c>
      <c r="K7" s="32" t="s">
        <v>265</v>
      </c>
      <c r="L7" s="6" t="s">
        <v>22</v>
      </c>
      <c r="M7" s="91">
        <v>2446875</v>
      </c>
      <c r="N7" s="9" t="s">
        <v>266</v>
      </c>
    </row>
    <row r="8" spans="1:15" ht="21.75" customHeight="1" x14ac:dyDescent="0.35">
      <c r="A8" s="9">
        <v>3</v>
      </c>
      <c r="B8" s="9" t="s">
        <v>15</v>
      </c>
      <c r="C8" s="7" t="s">
        <v>30</v>
      </c>
      <c r="D8" s="7" t="s">
        <v>31</v>
      </c>
      <c r="E8" s="32" t="s">
        <v>18</v>
      </c>
      <c r="F8" s="32" t="s">
        <v>19</v>
      </c>
      <c r="G8" s="32" t="s">
        <v>21</v>
      </c>
      <c r="H8" s="6" t="s">
        <v>22</v>
      </c>
      <c r="I8" s="39">
        <v>2875000</v>
      </c>
      <c r="J8" s="32" t="s">
        <v>19</v>
      </c>
      <c r="K8" s="32" t="s">
        <v>265</v>
      </c>
      <c r="L8" s="6" t="s">
        <v>22</v>
      </c>
      <c r="M8" s="91">
        <v>2446875</v>
      </c>
      <c r="N8" s="9" t="s">
        <v>266</v>
      </c>
    </row>
    <row r="9" spans="1:15" ht="21.75" customHeight="1" x14ac:dyDescent="0.35">
      <c r="A9" s="9">
        <v>4</v>
      </c>
      <c r="B9" s="9" t="s">
        <v>15</v>
      </c>
      <c r="C9" s="7" t="s">
        <v>32</v>
      </c>
      <c r="D9" s="7" t="s">
        <v>33</v>
      </c>
      <c r="E9" s="32" t="s">
        <v>18</v>
      </c>
      <c r="F9" s="32" t="s">
        <v>19</v>
      </c>
      <c r="G9" s="32" t="s">
        <v>21</v>
      </c>
      <c r="H9" s="6" t="s">
        <v>22</v>
      </c>
      <c r="I9" s="39">
        <v>2875000</v>
      </c>
      <c r="J9" s="32" t="s">
        <v>19</v>
      </c>
      <c r="K9" s="32" t="s">
        <v>265</v>
      </c>
      <c r="L9" s="6" t="s">
        <v>22</v>
      </c>
      <c r="M9" s="91">
        <v>2446875</v>
      </c>
      <c r="N9" s="9" t="s">
        <v>266</v>
      </c>
    </row>
    <row r="10" spans="1:15" ht="21.75" customHeight="1" x14ac:dyDescent="0.35">
      <c r="A10" s="9">
        <v>5</v>
      </c>
      <c r="B10" s="9" t="s">
        <v>15</v>
      </c>
      <c r="C10" s="7" t="s">
        <v>34</v>
      </c>
      <c r="D10" s="7" t="s">
        <v>35</v>
      </c>
      <c r="E10" s="32" t="s">
        <v>18</v>
      </c>
      <c r="F10" s="32" t="s">
        <v>19</v>
      </c>
      <c r="G10" s="32" t="s">
        <v>21</v>
      </c>
      <c r="H10" s="6" t="s">
        <v>22</v>
      </c>
      <c r="I10" s="39">
        <v>2875000</v>
      </c>
      <c r="J10" s="32" t="s">
        <v>19</v>
      </c>
      <c r="K10" s="32" t="s">
        <v>265</v>
      </c>
      <c r="L10" s="6" t="s">
        <v>22</v>
      </c>
      <c r="M10" s="91">
        <v>2446875</v>
      </c>
      <c r="N10" s="9" t="s">
        <v>266</v>
      </c>
    </row>
    <row r="11" spans="1:15" ht="21.75" customHeight="1" x14ac:dyDescent="0.35">
      <c r="A11" s="9">
        <v>6</v>
      </c>
      <c r="B11" s="9" t="s">
        <v>15</v>
      </c>
      <c r="C11" s="7" t="s">
        <v>36</v>
      </c>
      <c r="D11" s="7" t="s">
        <v>37</v>
      </c>
      <c r="E11" s="32" t="s">
        <v>18</v>
      </c>
      <c r="F11" s="32" t="s">
        <v>19</v>
      </c>
      <c r="G11" s="32" t="s">
        <v>21</v>
      </c>
      <c r="H11" s="6" t="s">
        <v>22</v>
      </c>
      <c r="I11" s="39">
        <v>2875000</v>
      </c>
      <c r="J11" s="32" t="s">
        <v>19</v>
      </c>
      <c r="K11" s="32" t="s">
        <v>265</v>
      </c>
      <c r="L11" s="6" t="s">
        <v>22</v>
      </c>
      <c r="M11" s="91">
        <v>2446875</v>
      </c>
      <c r="N11" s="9" t="s">
        <v>266</v>
      </c>
    </row>
    <row r="12" spans="1:15" ht="21.75" customHeight="1" x14ac:dyDescent="0.35">
      <c r="A12" s="9">
        <v>7</v>
      </c>
      <c r="B12" s="9" t="s">
        <v>15</v>
      </c>
      <c r="C12" s="7" t="s">
        <v>38</v>
      </c>
      <c r="D12" s="7" t="s">
        <v>39</v>
      </c>
      <c r="E12" s="32" t="s">
        <v>18</v>
      </c>
      <c r="F12" s="32" t="s">
        <v>19</v>
      </c>
      <c r="G12" s="32" t="s">
        <v>21</v>
      </c>
      <c r="H12" s="6" t="s">
        <v>22</v>
      </c>
      <c r="I12" s="39">
        <v>2875000</v>
      </c>
      <c r="J12" s="32" t="s">
        <v>19</v>
      </c>
      <c r="K12" s="32" t="s">
        <v>265</v>
      </c>
      <c r="L12" s="6" t="s">
        <v>22</v>
      </c>
      <c r="M12" s="91">
        <v>2446875</v>
      </c>
      <c r="N12" s="9" t="s">
        <v>266</v>
      </c>
    </row>
    <row r="13" spans="1:15" ht="21.75" customHeight="1" x14ac:dyDescent="0.35">
      <c r="A13" s="9">
        <v>8</v>
      </c>
      <c r="B13" s="9" t="s">
        <v>15</v>
      </c>
      <c r="C13" s="7" t="s">
        <v>40</v>
      </c>
      <c r="D13" s="7" t="s">
        <v>41</v>
      </c>
      <c r="E13" s="32" t="s">
        <v>18</v>
      </c>
      <c r="F13" s="32" t="s">
        <v>19</v>
      </c>
      <c r="G13" s="32" t="s">
        <v>21</v>
      </c>
      <c r="H13" s="6" t="s">
        <v>22</v>
      </c>
      <c r="I13" s="39">
        <v>2875000</v>
      </c>
      <c r="J13" s="32" t="s">
        <v>19</v>
      </c>
      <c r="K13" s="32" t="s">
        <v>265</v>
      </c>
      <c r="L13" s="6" t="s">
        <v>22</v>
      </c>
      <c r="M13" s="91">
        <v>2446875</v>
      </c>
      <c r="N13" s="9" t="s">
        <v>266</v>
      </c>
    </row>
    <row r="14" spans="1:15" ht="21.75" customHeight="1" x14ac:dyDescent="0.35">
      <c r="A14" s="9">
        <v>9</v>
      </c>
      <c r="B14" s="9" t="s">
        <v>15</v>
      </c>
      <c r="C14" s="7" t="s">
        <v>42</v>
      </c>
      <c r="D14" s="7" t="s">
        <v>43</v>
      </c>
      <c r="E14" s="32" t="s">
        <v>18</v>
      </c>
      <c r="F14" s="32" t="s">
        <v>65</v>
      </c>
      <c r="G14" s="32" t="s">
        <v>21</v>
      </c>
      <c r="H14" s="6" t="s">
        <v>22</v>
      </c>
      <c r="I14" s="39">
        <v>2875000</v>
      </c>
      <c r="J14" s="32" t="s">
        <v>65</v>
      </c>
      <c r="K14" s="32"/>
      <c r="L14" s="6" t="s">
        <v>22</v>
      </c>
      <c r="M14" s="111">
        <v>2225000</v>
      </c>
      <c r="N14" s="9" t="s">
        <v>267</v>
      </c>
    </row>
    <row r="15" spans="1:15" ht="21.75" customHeight="1" x14ac:dyDescent="0.35">
      <c r="A15" s="9">
        <v>10</v>
      </c>
      <c r="B15" s="9" t="s">
        <v>15</v>
      </c>
      <c r="C15" s="7" t="s">
        <v>49</v>
      </c>
      <c r="D15" s="7" t="s">
        <v>50</v>
      </c>
      <c r="E15" s="32" t="s">
        <v>18</v>
      </c>
      <c r="F15" s="32" t="s">
        <v>65</v>
      </c>
      <c r="G15" s="32" t="s">
        <v>21</v>
      </c>
      <c r="H15" s="6" t="s">
        <v>22</v>
      </c>
      <c r="I15" s="39">
        <v>2875000</v>
      </c>
      <c r="J15" s="32" t="s">
        <v>65</v>
      </c>
      <c r="K15" s="32"/>
      <c r="L15" s="6" t="s">
        <v>22</v>
      </c>
      <c r="M15" s="111">
        <v>2225000</v>
      </c>
      <c r="N15" s="9" t="s">
        <v>267</v>
      </c>
    </row>
    <row r="16" spans="1:15" ht="21.75" customHeight="1" x14ac:dyDescent="0.35">
      <c r="A16" s="9">
        <v>11</v>
      </c>
      <c r="B16" s="9" t="s">
        <v>15</v>
      </c>
      <c r="C16" s="7" t="s">
        <v>51</v>
      </c>
      <c r="D16" s="7" t="s">
        <v>52</v>
      </c>
      <c r="E16" s="32" t="s">
        <v>18</v>
      </c>
      <c r="F16" s="32" t="s">
        <v>65</v>
      </c>
      <c r="G16" s="32" t="s">
        <v>21</v>
      </c>
      <c r="H16" s="6" t="s">
        <v>22</v>
      </c>
      <c r="I16" s="39">
        <v>2875000</v>
      </c>
      <c r="J16" s="32" t="s">
        <v>65</v>
      </c>
      <c r="K16" s="32"/>
      <c r="L16" s="6" t="s">
        <v>22</v>
      </c>
      <c r="M16" s="111">
        <v>2225000</v>
      </c>
      <c r="N16" s="9" t="s">
        <v>267</v>
      </c>
    </row>
    <row r="17" spans="1:14" ht="21.75" customHeight="1" x14ac:dyDescent="0.35">
      <c r="A17" s="9">
        <v>12</v>
      </c>
      <c r="B17" s="9" t="s">
        <v>15</v>
      </c>
      <c r="C17" s="7" t="s">
        <v>53</v>
      </c>
      <c r="D17" s="7" t="s">
        <v>54</v>
      </c>
      <c r="E17" s="32" t="s">
        <v>18</v>
      </c>
      <c r="F17" s="32" t="s">
        <v>65</v>
      </c>
      <c r="G17" s="32" t="s">
        <v>21</v>
      </c>
      <c r="H17" s="6" t="s">
        <v>22</v>
      </c>
      <c r="I17" s="39">
        <v>2875000</v>
      </c>
      <c r="J17" s="32" t="s">
        <v>65</v>
      </c>
      <c r="K17" s="32"/>
      <c r="L17" s="6" t="s">
        <v>22</v>
      </c>
      <c r="M17" s="111">
        <v>2225000</v>
      </c>
      <c r="N17" s="9" t="s">
        <v>267</v>
      </c>
    </row>
    <row r="18" spans="1:14" ht="21.75" customHeight="1" x14ac:dyDescent="0.35">
      <c r="A18" s="9">
        <v>13</v>
      </c>
      <c r="B18" s="9" t="s">
        <v>15</v>
      </c>
      <c r="C18" s="20" t="s">
        <v>55</v>
      </c>
      <c r="D18" s="20" t="s">
        <v>56</v>
      </c>
      <c r="E18" s="32" t="s">
        <v>18</v>
      </c>
      <c r="F18" s="32" t="s">
        <v>19</v>
      </c>
      <c r="G18" s="32" t="s">
        <v>57</v>
      </c>
      <c r="H18" s="6" t="s">
        <v>58</v>
      </c>
      <c r="I18" s="39">
        <v>2500000</v>
      </c>
      <c r="J18" s="32" t="s">
        <v>19</v>
      </c>
      <c r="K18" s="32" t="s">
        <v>268</v>
      </c>
      <c r="L18" s="6" t="s">
        <v>58</v>
      </c>
      <c r="M18" s="91">
        <v>2500000</v>
      </c>
      <c r="N18" s="9" t="s">
        <v>266</v>
      </c>
    </row>
    <row r="19" spans="1:14" ht="21.75" customHeight="1" x14ac:dyDescent="0.35">
      <c r="A19" s="9">
        <v>14</v>
      </c>
      <c r="B19" s="9" t="s">
        <v>15</v>
      </c>
      <c r="C19" s="20" t="s">
        <v>61</v>
      </c>
      <c r="D19" s="20" t="s">
        <v>62</v>
      </c>
      <c r="E19" s="32" t="s">
        <v>18</v>
      </c>
      <c r="F19" s="32" t="s">
        <v>19</v>
      </c>
      <c r="G19" s="32" t="s">
        <v>57</v>
      </c>
      <c r="H19" s="6" t="s">
        <v>58</v>
      </c>
      <c r="I19" s="39">
        <v>2500000</v>
      </c>
      <c r="J19" s="32" t="s">
        <v>19</v>
      </c>
      <c r="K19" s="32" t="s">
        <v>268</v>
      </c>
      <c r="L19" s="6" t="s">
        <v>58</v>
      </c>
      <c r="M19" s="91">
        <v>2500000</v>
      </c>
      <c r="N19" s="9" t="s">
        <v>266</v>
      </c>
    </row>
    <row r="20" spans="1:14" ht="21.75" customHeight="1" x14ac:dyDescent="0.35">
      <c r="A20" s="9">
        <v>15</v>
      </c>
      <c r="B20" s="9" t="s">
        <v>15</v>
      </c>
      <c r="C20" s="7" t="s">
        <v>63</v>
      </c>
      <c r="D20" s="7" t="s">
        <v>64</v>
      </c>
      <c r="E20" s="32" t="s">
        <v>18</v>
      </c>
      <c r="F20" s="32" t="s">
        <v>65</v>
      </c>
      <c r="G20" s="32" t="s">
        <v>21</v>
      </c>
      <c r="H20" s="6" t="s">
        <v>22</v>
      </c>
      <c r="I20" s="39">
        <v>2875000</v>
      </c>
      <c r="J20" s="32" t="s">
        <v>65</v>
      </c>
      <c r="K20" s="32" t="s">
        <v>265</v>
      </c>
      <c r="L20" s="6" t="s">
        <v>22</v>
      </c>
      <c r="M20" s="91">
        <v>2875000</v>
      </c>
      <c r="N20" s="9" t="s">
        <v>266</v>
      </c>
    </row>
    <row r="21" spans="1:14" ht="21.75" customHeight="1" x14ac:dyDescent="0.35">
      <c r="A21" s="9">
        <v>16</v>
      </c>
      <c r="B21" s="9" t="s">
        <v>15</v>
      </c>
      <c r="C21" s="7" t="s">
        <v>66</v>
      </c>
      <c r="D21" s="7" t="s">
        <v>67</v>
      </c>
      <c r="E21" s="32" t="s">
        <v>18</v>
      </c>
      <c r="F21" s="32" t="s">
        <v>19</v>
      </c>
      <c r="G21" s="32" t="s">
        <v>21</v>
      </c>
      <c r="H21" s="6" t="s">
        <v>22</v>
      </c>
      <c r="I21" s="39">
        <v>3250000</v>
      </c>
      <c r="J21" s="32" t="s">
        <v>19</v>
      </c>
      <c r="K21" s="32" t="s">
        <v>265</v>
      </c>
      <c r="L21" s="6" t="s">
        <v>22</v>
      </c>
      <c r="M21" s="91">
        <v>3250000</v>
      </c>
      <c r="N21" s="9" t="s">
        <v>266</v>
      </c>
    </row>
    <row r="22" spans="1:14" ht="21.75" customHeight="1" x14ac:dyDescent="0.35">
      <c r="A22" s="9">
        <v>17</v>
      </c>
      <c r="B22" s="9" t="s">
        <v>15</v>
      </c>
      <c r="C22" s="7" t="s">
        <v>68</v>
      </c>
      <c r="D22" s="7" t="s">
        <v>69</v>
      </c>
      <c r="E22" s="32" t="s">
        <v>18</v>
      </c>
      <c r="F22" s="32" t="s">
        <v>19</v>
      </c>
      <c r="G22" s="32" t="s">
        <v>21</v>
      </c>
      <c r="H22" s="6" t="s">
        <v>22</v>
      </c>
      <c r="I22" s="39">
        <v>3875000</v>
      </c>
      <c r="J22" s="32" t="s">
        <v>19</v>
      </c>
      <c r="K22" s="32" t="s">
        <v>265</v>
      </c>
      <c r="L22" s="6" t="s">
        <v>22</v>
      </c>
      <c r="M22" s="91">
        <v>3650000</v>
      </c>
      <c r="N22" s="9" t="s">
        <v>266</v>
      </c>
    </row>
    <row r="23" spans="1:14" ht="21.75" customHeight="1" x14ac:dyDescent="0.35">
      <c r="A23" s="9">
        <v>18</v>
      </c>
      <c r="B23" s="9" t="s">
        <v>15</v>
      </c>
      <c r="C23" s="7" t="s">
        <v>70</v>
      </c>
      <c r="D23" s="7" t="s">
        <v>71</v>
      </c>
      <c r="E23" s="32" t="s">
        <v>18</v>
      </c>
      <c r="F23" s="32" t="s">
        <v>19</v>
      </c>
      <c r="G23" s="32" t="s">
        <v>21</v>
      </c>
      <c r="H23" s="6" t="s">
        <v>22</v>
      </c>
      <c r="I23" s="39">
        <v>3875000</v>
      </c>
      <c r="J23" s="32" t="s">
        <v>19</v>
      </c>
      <c r="K23" s="32" t="s">
        <v>265</v>
      </c>
      <c r="L23" s="6" t="s">
        <v>22</v>
      </c>
      <c r="M23" s="91">
        <v>3650000</v>
      </c>
      <c r="N23" s="9" t="s">
        <v>266</v>
      </c>
    </row>
    <row r="24" spans="1:14" ht="21.75" customHeight="1" x14ac:dyDescent="0.35">
      <c r="A24" s="9">
        <v>19</v>
      </c>
      <c r="B24" s="9" t="s">
        <v>15</v>
      </c>
      <c r="C24" s="13" t="s">
        <v>72</v>
      </c>
      <c r="D24" s="7" t="s">
        <v>73</v>
      </c>
      <c r="E24" s="32" t="s">
        <v>18</v>
      </c>
      <c r="F24" s="32" t="s">
        <v>74</v>
      </c>
      <c r="G24" s="32" t="s">
        <v>75</v>
      </c>
      <c r="H24" s="6" t="s">
        <v>22</v>
      </c>
      <c r="I24" s="40">
        <v>67500000</v>
      </c>
      <c r="J24" s="32" t="s">
        <v>74</v>
      </c>
      <c r="K24" s="32" t="s">
        <v>269</v>
      </c>
      <c r="L24" s="6" t="s">
        <v>22</v>
      </c>
      <c r="M24" s="64">
        <v>67500000</v>
      </c>
      <c r="N24" s="9" t="s">
        <v>266</v>
      </c>
    </row>
    <row r="25" spans="1:14" ht="21.75" customHeight="1" x14ac:dyDescent="0.35">
      <c r="A25" s="9">
        <v>20</v>
      </c>
      <c r="B25" s="9" t="s">
        <v>15</v>
      </c>
      <c r="C25" s="13" t="s">
        <v>80</v>
      </c>
      <c r="D25" s="7" t="s">
        <v>81</v>
      </c>
      <c r="E25" s="32" t="s">
        <v>18</v>
      </c>
      <c r="F25" s="32" t="s">
        <v>65</v>
      </c>
      <c r="G25" s="32" t="s">
        <v>21</v>
      </c>
      <c r="H25" s="6" t="s">
        <v>22</v>
      </c>
      <c r="I25" s="39">
        <v>3000000</v>
      </c>
      <c r="J25" s="32" t="s">
        <v>65</v>
      </c>
      <c r="K25" s="32" t="s">
        <v>265</v>
      </c>
      <c r="L25" s="6" t="s">
        <v>22</v>
      </c>
      <c r="M25" s="91">
        <v>3000000</v>
      </c>
      <c r="N25" s="9" t="s">
        <v>266</v>
      </c>
    </row>
    <row r="26" spans="1:14" ht="21.75" customHeight="1" x14ac:dyDescent="0.35">
      <c r="A26" s="9">
        <v>21</v>
      </c>
      <c r="B26" s="9" t="s">
        <v>15</v>
      </c>
      <c r="C26" s="13" t="s">
        <v>80</v>
      </c>
      <c r="D26" s="7" t="s">
        <v>82</v>
      </c>
      <c r="E26" s="32" t="s">
        <v>18</v>
      </c>
      <c r="F26" s="32" t="s">
        <v>65</v>
      </c>
      <c r="G26" s="32" t="s">
        <v>21</v>
      </c>
      <c r="H26" s="6" t="s">
        <v>22</v>
      </c>
      <c r="I26" s="39">
        <v>3000000</v>
      </c>
      <c r="J26" s="32" t="s">
        <v>65</v>
      </c>
      <c r="K26" s="32" t="s">
        <v>265</v>
      </c>
      <c r="L26" s="6" t="s">
        <v>22</v>
      </c>
      <c r="M26" s="91">
        <v>3000000</v>
      </c>
      <c r="N26" s="9" t="s">
        <v>266</v>
      </c>
    </row>
    <row r="27" spans="1:14" ht="21.75" customHeight="1" x14ac:dyDescent="0.35">
      <c r="A27" s="9">
        <v>22</v>
      </c>
      <c r="B27" s="9" t="s">
        <v>15</v>
      </c>
      <c r="C27" s="13" t="s">
        <v>83</v>
      </c>
      <c r="D27" s="7" t="s">
        <v>84</v>
      </c>
      <c r="E27" s="32" t="s">
        <v>18</v>
      </c>
      <c r="F27" s="32" t="s">
        <v>65</v>
      </c>
      <c r="G27" s="32" t="s">
        <v>21</v>
      </c>
      <c r="H27" s="6" t="s">
        <v>22</v>
      </c>
      <c r="I27" s="39">
        <v>3000000</v>
      </c>
      <c r="J27" s="32" t="s">
        <v>65</v>
      </c>
      <c r="K27" s="32" t="s">
        <v>265</v>
      </c>
      <c r="L27" s="6" t="s">
        <v>22</v>
      </c>
      <c r="M27" s="91">
        <v>3000000</v>
      </c>
      <c r="N27" s="9" t="s">
        <v>266</v>
      </c>
    </row>
    <row r="28" spans="1:14" ht="21.75" customHeight="1" x14ac:dyDescent="0.35">
      <c r="A28" s="9">
        <v>23</v>
      </c>
      <c r="B28" s="9" t="s">
        <v>15</v>
      </c>
      <c r="C28" s="13" t="s">
        <v>83</v>
      </c>
      <c r="D28" s="7" t="s">
        <v>85</v>
      </c>
      <c r="E28" s="32" t="s">
        <v>18</v>
      </c>
      <c r="F28" s="32" t="s">
        <v>65</v>
      </c>
      <c r="G28" s="32" t="s">
        <v>21</v>
      </c>
      <c r="H28" s="6" t="s">
        <v>22</v>
      </c>
      <c r="I28" s="39">
        <v>3000000</v>
      </c>
      <c r="J28" s="32" t="s">
        <v>65</v>
      </c>
      <c r="K28" s="32" t="s">
        <v>265</v>
      </c>
      <c r="L28" s="6" t="s">
        <v>22</v>
      </c>
      <c r="M28" s="91">
        <v>3000000</v>
      </c>
      <c r="N28" s="9" t="s">
        <v>266</v>
      </c>
    </row>
    <row r="29" spans="1:14" ht="21.75" customHeight="1" x14ac:dyDescent="0.35">
      <c r="A29" s="9">
        <v>24</v>
      </c>
      <c r="B29" s="9" t="s">
        <v>15</v>
      </c>
      <c r="C29" s="13" t="s">
        <v>83</v>
      </c>
      <c r="D29" s="7" t="s">
        <v>86</v>
      </c>
      <c r="E29" s="32" t="s">
        <v>18</v>
      </c>
      <c r="F29" s="32" t="s">
        <v>65</v>
      </c>
      <c r="G29" s="32" t="s">
        <v>21</v>
      </c>
      <c r="H29" s="6" t="s">
        <v>22</v>
      </c>
      <c r="I29" s="39">
        <v>3000000</v>
      </c>
      <c r="J29" s="32" t="s">
        <v>65</v>
      </c>
      <c r="K29" s="32" t="s">
        <v>265</v>
      </c>
      <c r="L29" s="6" t="s">
        <v>22</v>
      </c>
      <c r="M29" s="91">
        <v>3000000</v>
      </c>
      <c r="N29" s="9" t="s">
        <v>266</v>
      </c>
    </row>
    <row r="30" spans="1:14" ht="43.5" x14ac:dyDescent="0.35">
      <c r="A30" s="9">
        <v>25</v>
      </c>
      <c r="B30" s="9" t="s">
        <v>15</v>
      </c>
      <c r="C30" s="21" t="s">
        <v>87</v>
      </c>
      <c r="D30" s="33" t="s">
        <v>88</v>
      </c>
      <c r="E30" s="32" t="s">
        <v>89</v>
      </c>
      <c r="F30" s="32" t="s">
        <v>90</v>
      </c>
      <c r="G30" s="34" t="s">
        <v>270</v>
      </c>
      <c r="H30" s="6" t="s">
        <v>58</v>
      </c>
      <c r="I30" s="111">
        <v>81420900</v>
      </c>
      <c r="J30" s="32" t="s">
        <v>90</v>
      </c>
      <c r="K30" s="34" t="s">
        <v>91</v>
      </c>
      <c r="L30" s="6" t="s">
        <v>58</v>
      </c>
      <c r="M30" s="39"/>
      <c r="N30" s="4" t="s">
        <v>271</v>
      </c>
    </row>
    <row r="31" spans="1:14" ht="21.75" customHeight="1" x14ac:dyDescent="0.35">
      <c r="A31" s="9">
        <v>26</v>
      </c>
      <c r="B31" s="9" t="s">
        <v>15</v>
      </c>
      <c r="C31" s="21" t="s">
        <v>94</v>
      </c>
      <c r="D31" s="20" t="s">
        <v>95</v>
      </c>
      <c r="E31" s="32" t="s">
        <v>89</v>
      </c>
      <c r="F31" s="32" t="s">
        <v>272</v>
      </c>
      <c r="G31" s="34" t="s">
        <v>96</v>
      </c>
      <c r="H31" s="6" t="s">
        <v>22</v>
      </c>
      <c r="I31" s="39">
        <v>91079100</v>
      </c>
      <c r="J31" s="32" t="s">
        <v>272</v>
      </c>
      <c r="K31" s="34" t="s">
        <v>91</v>
      </c>
      <c r="L31" s="6" t="s">
        <v>22</v>
      </c>
      <c r="M31" s="39"/>
      <c r="N31" s="4" t="s">
        <v>271</v>
      </c>
    </row>
    <row r="32" spans="1:14" ht="21.75" customHeight="1" x14ac:dyDescent="0.35">
      <c r="A32" s="9">
        <v>27</v>
      </c>
      <c r="B32" s="9" t="s">
        <v>15</v>
      </c>
      <c r="C32" s="21" t="s">
        <v>97</v>
      </c>
      <c r="D32" s="20" t="s">
        <v>98</v>
      </c>
      <c r="E32" s="32" t="s">
        <v>89</v>
      </c>
      <c r="F32" s="34" t="s">
        <v>99</v>
      </c>
      <c r="G32" s="34" t="s">
        <v>100</v>
      </c>
      <c r="H32" s="6" t="s">
        <v>101</v>
      </c>
      <c r="I32" s="39">
        <v>935000000</v>
      </c>
      <c r="J32" s="34" t="s">
        <v>99</v>
      </c>
      <c r="K32" s="34" t="s">
        <v>100</v>
      </c>
      <c r="L32" s="6" t="s">
        <v>101</v>
      </c>
      <c r="M32" s="39"/>
      <c r="N32" s="4"/>
    </row>
    <row r="33" spans="1:14" ht="21.75" customHeight="1" x14ac:dyDescent="0.35">
      <c r="A33" s="9">
        <v>28</v>
      </c>
      <c r="B33" s="9" t="s">
        <v>15</v>
      </c>
      <c r="C33" s="21" t="s">
        <v>104</v>
      </c>
      <c r="D33" s="20" t="s">
        <v>105</v>
      </c>
      <c r="E33" s="32" t="s">
        <v>89</v>
      </c>
      <c r="F33" s="34" t="s">
        <v>99</v>
      </c>
      <c r="G33" s="34" t="s">
        <v>100</v>
      </c>
      <c r="H33" s="6" t="s">
        <v>101</v>
      </c>
      <c r="I33" s="39">
        <v>935000000</v>
      </c>
      <c r="J33" s="34" t="s">
        <v>99</v>
      </c>
      <c r="K33" s="34" t="s">
        <v>100</v>
      </c>
      <c r="L33" s="6" t="s">
        <v>101</v>
      </c>
      <c r="M33" s="39"/>
      <c r="N33" s="4"/>
    </row>
    <row r="34" spans="1:14" ht="21.75" customHeight="1" x14ac:dyDescent="0.35">
      <c r="A34" s="9">
        <v>29</v>
      </c>
      <c r="B34" s="9" t="s">
        <v>15</v>
      </c>
      <c r="C34" s="21" t="s">
        <v>106</v>
      </c>
      <c r="D34" s="20"/>
      <c r="E34" s="22" t="s">
        <v>18</v>
      </c>
      <c r="F34" s="22"/>
      <c r="G34" s="22" t="s">
        <v>18</v>
      </c>
      <c r="H34" s="6"/>
      <c r="I34" s="40"/>
      <c r="J34" s="22"/>
      <c r="K34" s="22" t="s">
        <v>18</v>
      </c>
      <c r="L34" s="6"/>
      <c r="M34" s="40"/>
      <c r="N34" s="4"/>
    </row>
    <row r="35" spans="1:14" ht="21.75" customHeight="1" x14ac:dyDescent="0.35">
      <c r="A35" s="9">
        <v>30</v>
      </c>
      <c r="B35" s="9" t="s">
        <v>15</v>
      </c>
      <c r="C35" s="21" t="s">
        <v>108</v>
      </c>
      <c r="D35" s="20"/>
      <c r="E35" s="22" t="s">
        <v>18</v>
      </c>
      <c r="F35" s="22"/>
      <c r="G35" s="22" t="s">
        <v>18</v>
      </c>
      <c r="H35" s="6"/>
      <c r="I35" s="40"/>
      <c r="J35" s="22"/>
      <c r="K35" s="22" t="s">
        <v>18</v>
      </c>
      <c r="L35" s="6"/>
      <c r="M35" s="40"/>
      <c r="N35" s="4"/>
    </row>
    <row r="36" spans="1:14" ht="58" x14ac:dyDescent="0.35">
      <c r="A36" s="9">
        <v>31</v>
      </c>
      <c r="B36" s="9" t="s">
        <v>15</v>
      </c>
      <c r="C36" s="5" t="s">
        <v>110</v>
      </c>
      <c r="D36" s="5" t="s">
        <v>111</v>
      </c>
      <c r="E36" s="35" t="s">
        <v>89</v>
      </c>
      <c r="F36" s="35">
        <v>45251</v>
      </c>
      <c r="G36" s="35">
        <v>48904</v>
      </c>
      <c r="H36" s="6" t="s">
        <v>112</v>
      </c>
      <c r="I36" s="40">
        <v>25000000</v>
      </c>
      <c r="J36" s="35">
        <v>45251</v>
      </c>
      <c r="K36" s="35">
        <v>48904</v>
      </c>
      <c r="L36" s="6" t="s">
        <v>112</v>
      </c>
      <c r="M36" s="40"/>
      <c r="N36" s="4"/>
    </row>
    <row r="37" spans="1:14" ht="21.75" customHeight="1" x14ac:dyDescent="0.35">
      <c r="B37" s="19"/>
      <c r="C37" s="47"/>
      <c r="D37" s="48"/>
      <c r="E37" s="49"/>
      <c r="F37" s="49"/>
      <c r="G37" s="49"/>
      <c r="H37" s="59" t="s">
        <v>262</v>
      </c>
      <c r="I37" s="51">
        <f>SUM(I6:I36)</f>
        <v>2203375000</v>
      </c>
      <c r="J37" s="49"/>
      <c r="K37" s="49"/>
      <c r="L37" s="59" t="s">
        <v>262</v>
      </c>
      <c r="M37" s="51">
        <f>SUM(M6:M36)</f>
        <v>129400000</v>
      </c>
      <c r="N37" s="50"/>
    </row>
    <row r="39" spans="1:14" ht="21.75" customHeight="1" x14ac:dyDescent="0.35">
      <c r="B39" s="17" t="s">
        <v>273</v>
      </c>
    </row>
  </sheetData>
  <mergeCells count="4">
    <mergeCell ref="A1:G1"/>
    <mergeCell ref="A3:N3"/>
    <mergeCell ref="F4:J4"/>
    <mergeCell ref="K4:N4"/>
  </mergeCells>
  <printOptions horizontalCentered="1"/>
  <pageMargins left="0" right="0" top="0" bottom="0" header="0.31496062992126" footer="0.31496062992126"/>
  <pageSetup paperSize="9" scale="8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showGridLines="0" topLeftCell="C16" zoomScale="85" zoomScaleNormal="85" workbookViewId="0">
      <selection activeCell="H15" sqref="H15:H16"/>
    </sheetView>
  </sheetViews>
  <sheetFormatPr defaultColWidth="9.1796875" defaultRowHeight="35.25" customHeight="1" x14ac:dyDescent="0.35"/>
  <cols>
    <col min="1" max="1" width="4.453125" style="17" bestFit="1" customWidth="1"/>
    <col min="2" max="2" width="43" style="17" bestFit="1" customWidth="1"/>
    <col min="3" max="3" width="26.54296875" style="17" customWidth="1"/>
    <col min="4" max="4" width="16" style="17" bestFit="1" customWidth="1"/>
    <col min="5" max="5" width="17.81640625" style="17" customWidth="1"/>
    <col min="6" max="6" width="18" style="17" customWidth="1"/>
    <col min="7" max="7" width="11.1796875" style="17" customWidth="1"/>
    <col min="8" max="8" width="17.1796875" style="17" customWidth="1"/>
    <col min="9" max="9" width="38" style="17" customWidth="1"/>
    <col min="10" max="11" width="17.81640625" style="17" customWidth="1"/>
    <col min="12" max="13" width="14.7265625" style="17" customWidth="1"/>
    <col min="14" max="14" width="33" style="17" customWidth="1"/>
    <col min="15" max="16384" width="9.1796875" style="17"/>
  </cols>
  <sheetData>
    <row r="1" spans="1:14" ht="35.25" customHeight="1" x14ac:dyDescent="0.35">
      <c r="A1" s="138" t="s">
        <v>0</v>
      </c>
      <c r="B1" s="138"/>
      <c r="C1" s="138"/>
      <c r="D1" s="138"/>
      <c r="E1" s="138"/>
      <c r="F1" s="138"/>
      <c r="G1" s="138"/>
      <c r="J1" s="15"/>
      <c r="K1" s="15"/>
      <c r="L1" s="15"/>
    </row>
    <row r="2" spans="1:14" ht="21" customHeight="1" x14ac:dyDescent="0.35">
      <c r="A2" s="157" t="s">
        <v>274</v>
      </c>
      <c r="B2" s="158"/>
      <c r="C2" s="158"/>
      <c r="D2" s="158"/>
      <c r="E2" s="159"/>
      <c r="F2" s="159"/>
      <c r="G2" s="159"/>
      <c r="H2" s="159"/>
      <c r="I2" s="159"/>
      <c r="J2" s="120"/>
      <c r="K2" s="120"/>
      <c r="L2" s="120"/>
      <c r="M2" s="120"/>
      <c r="N2" s="120"/>
    </row>
    <row r="3" spans="1:14" ht="21" customHeight="1" x14ac:dyDescent="0.35">
      <c r="A3" s="109"/>
      <c r="B3" s="110"/>
      <c r="C3" s="110"/>
      <c r="D3" s="110"/>
      <c r="E3" s="162">
        <v>2025</v>
      </c>
      <c r="F3" s="162"/>
      <c r="G3" s="162"/>
      <c r="H3" s="162"/>
      <c r="I3" s="162"/>
      <c r="J3" s="160">
        <v>2026</v>
      </c>
      <c r="K3" s="161"/>
      <c r="L3" s="161"/>
      <c r="M3" s="161"/>
      <c r="N3" s="161"/>
    </row>
    <row r="4" spans="1:14" ht="35.25" customHeight="1" x14ac:dyDescent="0.35">
      <c r="A4" s="27" t="s">
        <v>6</v>
      </c>
      <c r="B4" s="23" t="s">
        <v>8</v>
      </c>
      <c r="C4" s="23" t="s">
        <v>9</v>
      </c>
      <c r="D4" s="23" t="s">
        <v>10</v>
      </c>
      <c r="E4" s="117" t="s">
        <v>11</v>
      </c>
      <c r="F4" s="118" t="s">
        <v>13</v>
      </c>
      <c r="G4" s="117" t="s">
        <v>264</v>
      </c>
      <c r="H4" s="117" t="s">
        <v>3</v>
      </c>
      <c r="I4" s="117" t="s">
        <v>5</v>
      </c>
      <c r="J4" s="117" t="s">
        <v>11</v>
      </c>
      <c r="K4" s="118" t="s">
        <v>13</v>
      </c>
      <c r="L4" s="117" t="s">
        <v>264</v>
      </c>
      <c r="M4" s="117" t="s">
        <v>3</v>
      </c>
      <c r="N4" s="117" t="s">
        <v>5</v>
      </c>
    </row>
    <row r="5" spans="1:14" ht="35.25" customHeight="1" x14ac:dyDescent="0.35">
      <c r="A5" s="26">
        <v>1</v>
      </c>
      <c r="B5" s="7" t="s">
        <v>116</v>
      </c>
      <c r="C5" s="5" t="s">
        <v>117</v>
      </c>
      <c r="D5" s="22" t="s">
        <v>18</v>
      </c>
      <c r="E5" s="5" t="s">
        <v>134</v>
      </c>
      <c r="F5" s="24" t="s">
        <v>141</v>
      </c>
      <c r="G5" s="6" t="s">
        <v>22</v>
      </c>
      <c r="H5" s="40">
        <v>1750000</v>
      </c>
      <c r="I5" s="30" t="s">
        <v>275</v>
      </c>
      <c r="J5" s="5"/>
      <c r="K5" s="24"/>
      <c r="L5" s="6" t="s">
        <v>22</v>
      </c>
      <c r="M5" s="40"/>
      <c r="N5" s="5" t="s">
        <v>276</v>
      </c>
    </row>
    <row r="6" spans="1:14" ht="35.25" customHeight="1" x14ac:dyDescent="0.35">
      <c r="A6" s="4">
        <v>2</v>
      </c>
      <c r="B6" s="7" t="s">
        <v>121</v>
      </c>
      <c r="C6" s="5" t="s">
        <v>277</v>
      </c>
      <c r="D6" s="22" t="s">
        <v>18</v>
      </c>
      <c r="E6" s="5" t="s">
        <v>134</v>
      </c>
      <c r="F6" s="24" t="s">
        <v>141</v>
      </c>
      <c r="G6" s="6" t="s">
        <v>22</v>
      </c>
      <c r="H6" s="40">
        <v>1750000</v>
      </c>
      <c r="I6" s="30" t="s">
        <v>275</v>
      </c>
      <c r="J6" s="5"/>
      <c r="K6" s="24"/>
      <c r="L6" s="6" t="s">
        <v>22</v>
      </c>
      <c r="M6" s="40"/>
      <c r="N6" s="5" t="s">
        <v>276</v>
      </c>
    </row>
    <row r="7" spans="1:14" ht="35.25" customHeight="1" x14ac:dyDescent="0.35">
      <c r="A7" s="4">
        <v>3</v>
      </c>
      <c r="B7" s="7" t="s">
        <v>123</v>
      </c>
      <c r="C7" s="5" t="s">
        <v>124</v>
      </c>
      <c r="D7" s="22" t="s">
        <v>18</v>
      </c>
      <c r="E7" s="5" t="s">
        <v>134</v>
      </c>
      <c r="F7" s="24" t="s">
        <v>141</v>
      </c>
      <c r="G7" s="6" t="s">
        <v>22</v>
      </c>
      <c r="H7" s="40">
        <v>1750000</v>
      </c>
      <c r="I7" s="30" t="s">
        <v>275</v>
      </c>
      <c r="J7" s="5"/>
      <c r="K7" s="24"/>
      <c r="L7" s="6" t="s">
        <v>22</v>
      </c>
      <c r="M7" s="40"/>
      <c r="N7" s="5" t="s">
        <v>276</v>
      </c>
    </row>
    <row r="8" spans="1:14" ht="35.25" customHeight="1" x14ac:dyDescent="0.35">
      <c r="A8" s="4">
        <v>4</v>
      </c>
      <c r="B8" s="7" t="s">
        <v>116</v>
      </c>
      <c r="C8" s="5" t="s">
        <v>125</v>
      </c>
      <c r="D8" s="22" t="s">
        <v>18</v>
      </c>
      <c r="E8" s="5" t="s">
        <v>134</v>
      </c>
      <c r="F8" s="24" t="s">
        <v>141</v>
      </c>
      <c r="G8" s="6" t="s">
        <v>22</v>
      </c>
      <c r="H8" s="40">
        <v>1750000</v>
      </c>
      <c r="I8" s="30" t="s">
        <v>275</v>
      </c>
      <c r="J8" s="5"/>
      <c r="K8" s="24"/>
      <c r="L8" s="6" t="s">
        <v>22</v>
      </c>
      <c r="M8" s="40"/>
      <c r="N8" s="5" t="s">
        <v>276</v>
      </c>
    </row>
    <row r="9" spans="1:14" ht="35.25" customHeight="1" x14ac:dyDescent="0.35">
      <c r="A9" s="4">
        <v>5</v>
      </c>
      <c r="B9" s="7" t="s">
        <v>126</v>
      </c>
      <c r="C9" s="5" t="s">
        <v>127</v>
      </c>
      <c r="D9" s="36" t="s">
        <v>18</v>
      </c>
      <c r="E9" s="5" t="s">
        <v>134</v>
      </c>
      <c r="F9" s="24" t="s">
        <v>141</v>
      </c>
      <c r="G9" s="6" t="s">
        <v>22</v>
      </c>
      <c r="H9" s="43">
        <v>1600000</v>
      </c>
      <c r="I9" s="30" t="s">
        <v>275</v>
      </c>
      <c r="J9" s="5"/>
      <c r="K9" s="24"/>
      <c r="L9" s="6" t="s">
        <v>22</v>
      </c>
      <c r="M9" s="43">
        <v>1600000</v>
      </c>
      <c r="N9" s="5" t="s">
        <v>278</v>
      </c>
    </row>
    <row r="10" spans="1:14" ht="35.25" customHeight="1" x14ac:dyDescent="0.35">
      <c r="A10" s="4">
        <v>6</v>
      </c>
      <c r="B10" s="7" t="s">
        <v>128</v>
      </c>
      <c r="C10" s="7" t="s">
        <v>129</v>
      </c>
      <c r="D10" s="36" t="s">
        <v>18</v>
      </c>
      <c r="E10" s="5" t="s">
        <v>134</v>
      </c>
      <c r="F10" s="24" t="s">
        <v>141</v>
      </c>
      <c r="G10" s="6" t="s">
        <v>22</v>
      </c>
      <c r="H10" s="43">
        <v>1600000</v>
      </c>
      <c r="I10" s="30" t="s">
        <v>275</v>
      </c>
      <c r="J10" s="5"/>
      <c r="K10" s="24"/>
      <c r="L10" s="6" t="s">
        <v>22</v>
      </c>
      <c r="M10" s="43">
        <v>1600000</v>
      </c>
      <c r="N10" s="5" t="s">
        <v>278</v>
      </c>
    </row>
    <row r="11" spans="1:14" ht="35.25" customHeight="1" x14ac:dyDescent="0.35">
      <c r="A11" s="4">
        <v>7</v>
      </c>
      <c r="B11" s="7" t="s">
        <v>130</v>
      </c>
      <c r="C11" s="7" t="s">
        <v>131</v>
      </c>
      <c r="D11" s="36" t="s">
        <v>18</v>
      </c>
      <c r="E11" s="5" t="s">
        <v>134</v>
      </c>
      <c r="F11" s="24" t="s">
        <v>141</v>
      </c>
      <c r="G11" s="6" t="s">
        <v>22</v>
      </c>
      <c r="H11" s="43">
        <v>1600000</v>
      </c>
      <c r="I11" s="30" t="s">
        <v>275</v>
      </c>
      <c r="J11" s="5"/>
      <c r="K11" s="24"/>
      <c r="L11" s="6" t="s">
        <v>22</v>
      </c>
      <c r="M11" s="43">
        <v>1600000</v>
      </c>
      <c r="N11" s="5" t="s">
        <v>278</v>
      </c>
    </row>
    <row r="12" spans="1:14" ht="35.25" customHeight="1" x14ac:dyDescent="0.35">
      <c r="A12" s="4">
        <v>8</v>
      </c>
      <c r="B12" s="7" t="s">
        <v>132</v>
      </c>
      <c r="C12" s="7" t="s">
        <v>133</v>
      </c>
      <c r="D12" s="36" t="s">
        <v>18</v>
      </c>
      <c r="E12" s="5" t="s">
        <v>134</v>
      </c>
      <c r="F12" s="28" t="s">
        <v>21</v>
      </c>
      <c r="G12" s="6" t="s">
        <v>58</v>
      </c>
      <c r="H12" s="40">
        <v>2000000</v>
      </c>
      <c r="I12" s="2"/>
      <c r="J12" s="121" t="s">
        <v>270</v>
      </c>
      <c r="K12" s="121" t="s">
        <v>279</v>
      </c>
      <c r="L12" s="6" t="s">
        <v>58</v>
      </c>
      <c r="M12" s="64">
        <v>2000000</v>
      </c>
      <c r="N12" s="7" t="s">
        <v>266</v>
      </c>
    </row>
    <row r="13" spans="1:14" ht="35.25" customHeight="1" x14ac:dyDescent="0.35">
      <c r="A13" s="4">
        <v>9</v>
      </c>
      <c r="B13" s="7" t="s">
        <v>132</v>
      </c>
      <c r="C13" s="7" t="s">
        <v>136</v>
      </c>
      <c r="D13" s="36" t="s">
        <v>18</v>
      </c>
      <c r="E13" s="5" t="s">
        <v>134</v>
      </c>
      <c r="F13" s="28" t="s">
        <v>21</v>
      </c>
      <c r="G13" s="6" t="s">
        <v>58</v>
      </c>
      <c r="H13" s="40">
        <v>2000000</v>
      </c>
      <c r="I13" s="2"/>
      <c r="J13" s="121" t="s">
        <v>270</v>
      </c>
      <c r="K13" s="121" t="s">
        <v>279</v>
      </c>
      <c r="L13" s="6" t="s">
        <v>58</v>
      </c>
      <c r="M13" s="64">
        <v>2000000</v>
      </c>
      <c r="N13" s="7" t="s">
        <v>266</v>
      </c>
    </row>
    <row r="14" spans="1:14" ht="35.25" customHeight="1" x14ac:dyDescent="0.35">
      <c r="A14" s="4">
        <v>10</v>
      </c>
      <c r="B14" s="8" t="s">
        <v>132</v>
      </c>
      <c r="C14" s="8" t="s">
        <v>138</v>
      </c>
      <c r="D14" s="36" t="s">
        <v>18</v>
      </c>
      <c r="E14" s="5" t="s">
        <v>134</v>
      </c>
      <c r="F14" s="28" t="s">
        <v>21</v>
      </c>
      <c r="G14" s="25" t="s">
        <v>58</v>
      </c>
      <c r="H14" s="40">
        <v>2000000</v>
      </c>
      <c r="I14" s="2"/>
      <c r="J14" s="121" t="s">
        <v>270</v>
      </c>
      <c r="K14" s="121" t="s">
        <v>279</v>
      </c>
      <c r="L14" s="25" t="s">
        <v>58</v>
      </c>
      <c r="M14" s="64">
        <v>2000000</v>
      </c>
      <c r="N14" s="7" t="s">
        <v>266</v>
      </c>
    </row>
    <row r="15" spans="1:14" ht="35.25" customHeight="1" x14ac:dyDescent="0.35">
      <c r="A15" s="4">
        <v>11</v>
      </c>
      <c r="B15" s="8" t="s">
        <v>139</v>
      </c>
      <c r="C15" s="8" t="s">
        <v>140</v>
      </c>
      <c r="D15" s="36" t="s">
        <v>18</v>
      </c>
      <c r="E15" s="5" t="s">
        <v>134</v>
      </c>
      <c r="F15" s="24" t="s">
        <v>141</v>
      </c>
      <c r="G15" s="25" t="s">
        <v>22</v>
      </c>
      <c r="H15" s="41">
        <v>4000000</v>
      </c>
      <c r="I15" s="30" t="s">
        <v>275</v>
      </c>
      <c r="J15" s="5"/>
      <c r="K15" s="24"/>
      <c r="L15" s="25" t="s">
        <v>22</v>
      </c>
      <c r="M15" s="41"/>
      <c r="N15" s="5" t="s">
        <v>276</v>
      </c>
    </row>
    <row r="16" spans="1:14" ht="35.25" customHeight="1" x14ac:dyDescent="0.35">
      <c r="A16" s="4">
        <v>12</v>
      </c>
      <c r="B16" s="8" t="s">
        <v>143</v>
      </c>
      <c r="C16" s="8" t="s">
        <v>144</v>
      </c>
      <c r="D16" s="36" t="s">
        <v>18</v>
      </c>
      <c r="E16" s="5" t="s">
        <v>134</v>
      </c>
      <c r="F16" s="24" t="s">
        <v>141</v>
      </c>
      <c r="G16" s="25" t="s">
        <v>22</v>
      </c>
      <c r="H16" s="41">
        <v>4000000</v>
      </c>
      <c r="I16" s="30" t="s">
        <v>275</v>
      </c>
      <c r="J16" s="5"/>
      <c r="K16" s="24"/>
      <c r="L16" s="25" t="s">
        <v>22</v>
      </c>
      <c r="M16" s="41"/>
      <c r="N16" s="5" t="s">
        <v>276</v>
      </c>
    </row>
    <row r="17" spans="1:14" ht="35.25" customHeight="1" x14ac:dyDescent="0.35">
      <c r="A17" s="4">
        <v>13</v>
      </c>
      <c r="B17" s="8" t="s">
        <v>145</v>
      </c>
      <c r="C17" s="8" t="s">
        <v>146</v>
      </c>
      <c r="D17" s="37" t="s">
        <v>89</v>
      </c>
      <c r="E17" s="38">
        <v>45923</v>
      </c>
      <c r="F17" s="38">
        <v>46282</v>
      </c>
      <c r="G17" s="25" t="s">
        <v>147</v>
      </c>
      <c r="H17" s="41">
        <v>6000000</v>
      </c>
      <c r="I17" s="2"/>
      <c r="J17" s="38"/>
      <c r="K17" s="38"/>
      <c r="L17" s="25" t="s">
        <v>147</v>
      </c>
      <c r="M17" s="41">
        <v>56000000</v>
      </c>
      <c r="N17" s="7" t="s">
        <v>278</v>
      </c>
    </row>
    <row r="18" spans="1:14" ht="35.25" customHeight="1" x14ac:dyDescent="0.35">
      <c r="A18" s="4">
        <v>14</v>
      </c>
      <c r="B18" s="8" t="s">
        <v>150</v>
      </c>
      <c r="C18" s="8" t="s">
        <v>151</v>
      </c>
      <c r="D18" s="37" t="s">
        <v>89</v>
      </c>
      <c r="E18" s="29" t="s">
        <v>152</v>
      </c>
      <c r="F18" s="24" t="s">
        <v>153</v>
      </c>
      <c r="G18" s="25" t="s">
        <v>101</v>
      </c>
      <c r="H18" s="41">
        <v>962000000</v>
      </c>
      <c r="I18" s="2"/>
      <c r="J18" s="29" t="s">
        <v>155</v>
      </c>
      <c r="K18" s="24" t="s">
        <v>156</v>
      </c>
      <c r="L18" s="25" t="s">
        <v>101</v>
      </c>
      <c r="M18" s="41">
        <v>962031000</v>
      </c>
      <c r="N18" s="7" t="s">
        <v>266</v>
      </c>
    </row>
    <row r="19" spans="1:14" ht="35.25" customHeight="1" x14ac:dyDescent="0.35">
      <c r="A19" s="4">
        <v>15</v>
      </c>
      <c r="B19" s="8" t="s">
        <v>158</v>
      </c>
      <c r="C19" s="8" t="s">
        <v>159</v>
      </c>
      <c r="D19" s="37" t="s">
        <v>89</v>
      </c>
      <c r="E19" s="9" t="s">
        <v>280</v>
      </c>
      <c r="F19" s="7" t="s">
        <v>281</v>
      </c>
      <c r="G19" s="25" t="s">
        <v>58</v>
      </c>
      <c r="H19" s="41"/>
      <c r="I19" s="30" t="s">
        <v>282</v>
      </c>
      <c r="J19" s="9"/>
      <c r="K19" s="7"/>
      <c r="L19" s="25" t="s">
        <v>58</v>
      </c>
      <c r="M19" s="41"/>
      <c r="N19" s="5" t="s">
        <v>276</v>
      </c>
    </row>
    <row r="20" spans="1:14" ht="35.25" customHeight="1" x14ac:dyDescent="0.35">
      <c r="A20" s="4">
        <v>16</v>
      </c>
      <c r="B20" s="8" t="s">
        <v>162</v>
      </c>
      <c r="C20" s="8"/>
      <c r="D20" s="37" t="s">
        <v>89</v>
      </c>
      <c r="E20" s="9" t="s">
        <v>283</v>
      </c>
      <c r="F20" s="7" t="s">
        <v>281</v>
      </c>
      <c r="G20" s="25" t="s">
        <v>147</v>
      </c>
      <c r="H20" s="41"/>
      <c r="I20" s="30" t="s">
        <v>282</v>
      </c>
      <c r="J20" s="9"/>
      <c r="K20" s="7"/>
      <c r="L20" s="25" t="s">
        <v>147</v>
      </c>
      <c r="M20" s="41"/>
      <c r="N20" s="5" t="s">
        <v>276</v>
      </c>
    </row>
    <row r="21" spans="1:14" ht="35.25" customHeight="1" x14ac:dyDescent="0.35">
      <c r="A21" s="4">
        <v>17</v>
      </c>
      <c r="B21" s="8" t="s">
        <v>163</v>
      </c>
      <c r="C21" s="8" t="s">
        <v>164</v>
      </c>
      <c r="D21" s="37" t="s">
        <v>89</v>
      </c>
      <c r="E21" s="9" t="s">
        <v>280</v>
      </c>
      <c r="F21" s="7" t="s">
        <v>281</v>
      </c>
      <c r="G21" s="25" t="s">
        <v>58</v>
      </c>
      <c r="H21" s="41"/>
      <c r="I21" s="30" t="s">
        <v>282</v>
      </c>
      <c r="J21" s="9"/>
      <c r="K21" s="7"/>
      <c r="L21" s="25" t="s">
        <v>58</v>
      </c>
      <c r="M21" s="41"/>
      <c r="N21" s="5" t="s">
        <v>276</v>
      </c>
    </row>
    <row r="22" spans="1:14" ht="35.25" customHeight="1" x14ac:dyDescent="0.35">
      <c r="A22" s="4">
        <v>18</v>
      </c>
      <c r="B22" s="8" t="s">
        <v>165</v>
      </c>
      <c r="C22" s="8"/>
      <c r="D22" s="37" t="s">
        <v>89</v>
      </c>
      <c r="E22" s="9" t="s">
        <v>283</v>
      </c>
      <c r="F22" s="7" t="s">
        <v>281</v>
      </c>
      <c r="G22" s="25" t="s">
        <v>147</v>
      </c>
      <c r="H22" s="41"/>
      <c r="I22" s="30" t="s">
        <v>282</v>
      </c>
      <c r="J22" s="9"/>
      <c r="K22" s="7"/>
      <c r="L22" s="25" t="s">
        <v>147</v>
      </c>
      <c r="M22" s="41"/>
      <c r="N22" s="5" t="s">
        <v>276</v>
      </c>
    </row>
    <row r="23" spans="1:14" ht="35.25" customHeight="1" x14ac:dyDescent="0.35">
      <c r="A23" s="4">
        <v>19</v>
      </c>
      <c r="B23" s="8" t="s">
        <v>166</v>
      </c>
      <c r="C23" s="8" t="s">
        <v>167</v>
      </c>
      <c r="D23" s="37" t="s">
        <v>89</v>
      </c>
      <c r="E23" s="35">
        <v>45543</v>
      </c>
      <c r="F23" s="35">
        <v>51021</v>
      </c>
      <c r="G23" s="25" t="s">
        <v>168</v>
      </c>
      <c r="H23" s="45">
        <v>7000000</v>
      </c>
      <c r="I23" s="30"/>
      <c r="J23" s="35">
        <v>45543</v>
      </c>
      <c r="K23" s="35">
        <v>51021</v>
      </c>
      <c r="L23" s="25" t="s">
        <v>168</v>
      </c>
      <c r="M23" s="45">
        <v>7000000</v>
      </c>
      <c r="N23" s="30"/>
    </row>
    <row r="24" spans="1:14" ht="35.25" customHeight="1" x14ac:dyDescent="0.35">
      <c r="A24" s="4">
        <v>20</v>
      </c>
      <c r="B24" s="8" t="s">
        <v>284</v>
      </c>
      <c r="C24" s="8" t="s">
        <v>172</v>
      </c>
      <c r="D24" s="37" t="s">
        <v>89</v>
      </c>
      <c r="E24" s="35">
        <v>45543</v>
      </c>
      <c r="F24" s="35">
        <v>51021</v>
      </c>
      <c r="G24" s="25" t="s">
        <v>168</v>
      </c>
      <c r="H24" s="45">
        <v>8500000</v>
      </c>
      <c r="I24" s="30"/>
      <c r="J24" s="35">
        <v>45543</v>
      </c>
      <c r="K24" s="35">
        <v>51021</v>
      </c>
      <c r="L24" s="25" t="s">
        <v>168</v>
      </c>
      <c r="M24" s="45">
        <v>8500000</v>
      </c>
      <c r="N24" s="30"/>
    </row>
    <row r="25" spans="1:14" ht="35.25" customHeight="1" x14ac:dyDescent="0.35">
      <c r="G25" s="60" t="s">
        <v>262</v>
      </c>
      <c r="H25" s="57">
        <f>SUM(H5:H24)</f>
        <v>1009300000</v>
      </c>
      <c r="L25" s="60" t="s">
        <v>262</v>
      </c>
      <c r="M25" s="57">
        <f>SUM(M5:M24)</f>
        <v>1044331000</v>
      </c>
    </row>
  </sheetData>
  <mergeCells count="4">
    <mergeCell ref="A1:G1"/>
    <mergeCell ref="A2:I2"/>
    <mergeCell ref="J3:N3"/>
    <mergeCell ref="E3:I3"/>
  </mergeCells>
  <phoneticPr fontId="11" type="noConversion"/>
  <printOptions horizontalCentered="1"/>
  <pageMargins left="0.2" right="0.2" top="0.75" bottom="0.75" header="0.3" footer="0.3"/>
  <pageSetup paperSize="9"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topLeftCell="A9" zoomScale="80" zoomScaleNormal="80" workbookViewId="0">
      <selection activeCell="H18" sqref="H18:H19"/>
    </sheetView>
  </sheetViews>
  <sheetFormatPr defaultRowHeight="15" customHeight="1" x14ac:dyDescent="0.35"/>
  <cols>
    <col min="1" max="1" width="5.26953125" customWidth="1"/>
    <col min="2" max="2" width="39.26953125" customWidth="1"/>
    <col min="3" max="3" width="39.54296875" customWidth="1"/>
    <col min="4" max="4" width="15.453125" customWidth="1"/>
    <col min="5" max="5" width="16" bestFit="1" customWidth="1"/>
    <col min="6" max="6" width="14.453125" bestFit="1" customWidth="1"/>
    <col min="7" max="7" width="12.453125" customWidth="1"/>
    <col min="8" max="8" width="16" customWidth="1"/>
    <col min="9" max="9" width="31.26953125" customWidth="1"/>
    <col min="10" max="10" width="16" bestFit="1" customWidth="1"/>
    <col min="11" max="11" width="14.453125" bestFit="1" customWidth="1"/>
    <col min="12" max="12" width="12.453125" customWidth="1"/>
    <col min="13" max="13" width="16" customWidth="1"/>
    <col min="14" max="14" width="31.26953125" customWidth="1"/>
  </cols>
  <sheetData>
    <row r="1" spans="1:14" ht="26" x14ac:dyDescent="0.35">
      <c r="A1" s="163" t="s">
        <v>0</v>
      </c>
      <c r="B1" s="163"/>
      <c r="C1" s="163"/>
      <c r="D1" s="163"/>
      <c r="E1" s="163"/>
      <c r="F1" s="163"/>
      <c r="G1" s="163"/>
    </row>
    <row r="3" spans="1:14" ht="21" x14ac:dyDescent="0.35">
      <c r="A3" s="167" t="s">
        <v>285</v>
      </c>
      <c r="B3" s="168"/>
      <c r="C3" s="168"/>
      <c r="D3" s="168"/>
      <c r="E3" s="169"/>
      <c r="F3" s="169"/>
      <c r="G3" s="169"/>
      <c r="H3" s="169"/>
      <c r="I3" s="169"/>
      <c r="J3" s="122"/>
      <c r="K3" s="122"/>
      <c r="L3" s="122"/>
      <c r="M3" s="122"/>
      <c r="N3" s="122"/>
    </row>
    <row r="4" spans="1:14" ht="21" x14ac:dyDescent="0.35">
      <c r="A4" s="122"/>
      <c r="B4" s="116"/>
      <c r="C4" s="116"/>
      <c r="D4" s="116"/>
      <c r="E4" s="172">
        <v>2025</v>
      </c>
      <c r="F4" s="172"/>
      <c r="G4" s="172"/>
      <c r="H4" s="172"/>
      <c r="I4" s="172"/>
      <c r="J4" s="170">
        <v>2026</v>
      </c>
      <c r="K4" s="171"/>
      <c r="L4" s="171"/>
      <c r="M4" s="171"/>
      <c r="N4" s="171"/>
    </row>
    <row r="5" spans="1:14" ht="18.5" x14ac:dyDescent="0.35">
      <c r="A5" s="3" t="s">
        <v>6</v>
      </c>
      <c r="B5" s="23" t="s">
        <v>8</v>
      </c>
      <c r="C5" s="23" t="s">
        <v>9</v>
      </c>
      <c r="D5" s="23" t="s">
        <v>10</v>
      </c>
      <c r="E5" s="117" t="s">
        <v>11</v>
      </c>
      <c r="F5" s="118" t="s">
        <v>13</v>
      </c>
      <c r="G5" s="117" t="s">
        <v>264</v>
      </c>
      <c r="H5" s="117" t="s">
        <v>3</v>
      </c>
      <c r="I5" s="117" t="s">
        <v>5</v>
      </c>
      <c r="J5" s="117" t="s">
        <v>11</v>
      </c>
      <c r="K5" s="118" t="s">
        <v>13</v>
      </c>
      <c r="L5" s="117" t="s">
        <v>264</v>
      </c>
      <c r="M5" s="117" t="s">
        <v>3</v>
      </c>
      <c r="N5" s="117" t="s">
        <v>5</v>
      </c>
    </row>
    <row r="6" spans="1:14" ht="29" x14ac:dyDescent="0.35">
      <c r="A6" s="11">
        <v>1</v>
      </c>
      <c r="B6" s="8" t="s">
        <v>193</v>
      </c>
      <c r="C6" s="8" t="s">
        <v>194</v>
      </c>
      <c r="D6" s="25" t="s">
        <v>18</v>
      </c>
      <c r="E6" s="8" t="s">
        <v>286</v>
      </c>
      <c r="F6" s="52" t="s">
        <v>160</v>
      </c>
      <c r="G6" s="25" t="s">
        <v>22</v>
      </c>
      <c r="H6" s="53">
        <v>2500000</v>
      </c>
      <c r="I6" s="5" t="s">
        <v>275</v>
      </c>
      <c r="J6" s="8"/>
      <c r="K6" s="52"/>
      <c r="L6" s="25" t="s">
        <v>22</v>
      </c>
      <c r="M6" s="53"/>
      <c r="N6" s="5" t="s">
        <v>276</v>
      </c>
    </row>
    <row r="7" spans="1:14" ht="29" x14ac:dyDescent="0.35">
      <c r="A7" s="1">
        <v>2</v>
      </c>
      <c r="B7" s="8" t="s">
        <v>193</v>
      </c>
      <c r="C7" s="8" t="s">
        <v>197</v>
      </c>
      <c r="D7" s="25" t="s">
        <v>18</v>
      </c>
      <c r="E7" s="8" t="s">
        <v>286</v>
      </c>
      <c r="F7" s="52" t="s">
        <v>160</v>
      </c>
      <c r="G7" s="25" t="s">
        <v>22</v>
      </c>
      <c r="H7" s="53">
        <v>2500000</v>
      </c>
      <c r="I7" s="5" t="s">
        <v>275</v>
      </c>
      <c r="J7" s="8"/>
      <c r="K7" s="52"/>
      <c r="L7" s="25" t="s">
        <v>22</v>
      </c>
      <c r="M7" s="53"/>
      <c r="N7" s="5" t="s">
        <v>276</v>
      </c>
    </row>
    <row r="8" spans="1:14" ht="29" x14ac:dyDescent="0.35">
      <c r="A8" s="1">
        <v>3</v>
      </c>
      <c r="B8" s="8" t="s">
        <v>198</v>
      </c>
      <c r="C8" s="8" t="s">
        <v>199</v>
      </c>
      <c r="D8" s="25" t="s">
        <v>18</v>
      </c>
      <c r="E8" s="8" t="s">
        <v>287</v>
      </c>
      <c r="F8" s="52" t="s">
        <v>160</v>
      </c>
      <c r="G8" s="25" t="s">
        <v>22</v>
      </c>
      <c r="H8" s="53">
        <v>3500000</v>
      </c>
      <c r="I8" s="5" t="s">
        <v>275</v>
      </c>
      <c r="J8" s="8"/>
      <c r="K8" s="52"/>
      <c r="L8" s="25" t="s">
        <v>22</v>
      </c>
      <c r="M8" s="53"/>
      <c r="N8" s="5" t="s">
        <v>276</v>
      </c>
    </row>
    <row r="9" spans="1:14" ht="29" x14ac:dyDescent="0.35">
      <c r="A9" s="1">
        <v>4</v>
      </c>
      <c r="B9" s="8" t="s">
        <v>200</v>
      </c>
      <c r="C9" s="8" t="s">
        <v>201</v>
      </c>
      <c r="D9" s="25" t="s">
        <v>18</v>
      </c>
      <c r="E9" s="8" t="s">
        <v>287</v>
      </c>
      <c r="F9" s="52" t="s">
        <v>160</v>
      </c>
      <c r="G9" s="25" t="s">
        <v>22</v>
      </c>
      <c r="H9" s="53">
        <v>3500000</v>
      </c>
      <c r="I9" s="5" t="s">
        <v>275</v>
      </c>
      <c r="J9" s="8"/>
      <c r="K9" s="52"/>
      <c r="L9" s="25" t="s">
        <v>22</v>
      </c>
      <c r="M9" s="53"/>
      <c r="N9" s="5" t="s">
        <v>276</v>
      </c>
    </row>
    <row r="10" spans="1:14" ht="29" x14ac:dyDescent="0.35">
      <c r="A10" s="1">
        <v>5</v>
      </c>
      <c r="B10" s="8" t="s">
        <v>202</v>
      </c>
      <c r="C10" s="8" t="s">
        <v>203</v>
      </c>
      <c r="D10" s="25" t="s">
        <v>18</v>
      </c>
      <c r="E10" s="8" t="s">
        <v>288</v>
      </c>
      <c r="F10" s="52" t="s">
        <v>160</v>
      </c>
      <c r="G10" s="25" t="s">
        <v>22</v>
      </c>
      <c r="H10" s="53">
        <v>2750000</v>
      </c>
      <c r="I10" s="5" t="s">
        <v>275</v>
      </c>
      <c r="J10" s="8"/>
      <c r="K10" s="52"/>
      <c r="L10" s="25" t="s">
        <v>22</v>
      </c>
      <c r="M10" s="53"/>
      <c r="N10" s="5" t="s">
        <v>276</v>
      </c>
    </row>
    <row r="11" spans="1:14" ht="29" x14ac:dyDescent="0.35">
      <c r="A11" s="1">
        <v>6</v>
      </c>
      <c r="B11" s="8" t="s">
        <v>204</v>
      </c>
      <c r="C11" s="8" t="s">
        <v>205</v>
      </c>
      <c r="D11" s="25" t="s">
        <v>18</v>
      </c>
      <c r="E11" s="8" t="s">
        <v>206</v>
      </c>
      <c r="F11" s="52" t="s">
        <v>91</v>
      </c>
      <c r="G11" s="25" t="s">
        <v>22</v>
      </c>
      <c r="H11" s="53">
        <v>4500000</v>
      </c>
      <c r="I11" s="5" t="s">
        <v>275</v>
      </c>
      <c r="J11" s="8"/>
      <c r="K11" s="52"/>
      <c r="L11" s="25" t="s">
        <v>22</v>
      </c>
      <c r="M11" s="53"/>
      <c r="N11" s="123" t="s">
        <v>276</v>
      </c>
    </row>
    <row r="12" spans="1:14" ht="29" x14ac:dyDescent="0.35">
      <c r="A12" s="1">
        <v>7</v>
      </c>
      <c r="B12" s="8" t="s">
        <v>207</v>
      </c>
      <c r="C12" s="8" t="s">
        <v>208</v>
      </c>
      <c r="D12" s="25" t="s">
        <v>18</v>
      </c>
      <c r="E12" s="8" t="s">
        <v>286</v>
      </c>
      <c r="F12" s="52" t="s">
        <v>160</v>
      </c>
      <c r="G12" s="25" t="s">
        <v>22</v>
      </c>
      <c r="H12" s="53">
        <v>4500000</v>
      </c>
      <c r="I12" s="5" t="s">
        <v>275</v>
      </c>
      <c r="J12" s="8"/>
      <c r="K12" s="52"/>
      <c r="L12" s="25" t="s">
        <v>22</v>
      </c>
      <c r="M12" s="53"/>
      <c r="N12" s="5" t="s">
        <v>276</v>
      </c>
    </row>
    <row r="13" spans="1:14" ht="29" x14ac:dyDescent="0.35">
      <c r="A13" s="1">
        <v>8</v>
      </c>
      <c r="B13" s="8" t="s">
        <v>209</v>
      </c>
      <c r="C13" s="8" t="s">
        <v>210</v>
      </c>
      <c r="D13" s="25" t="s">
        <v>18</v>
      </c>
      <c r="E13" s="8" t="s">
        <v>289</v>
      </c>
      <c r="F13" s="54" t="s">
        <v>290</v>
      </c>
      <c r="G13" s="25" t="s">
        <v>58</v>
      </c>
      <c r="H13" s="133">
        <v>67500000</v>
      </c>
      <c r="I13" s="5" t="s">
        <v>291</v>
      </c>
      <c r="J13" s="8"/>
      <c r="K13" s="54"/>
      <c r="L13" s="25" t="s">
        <v>58</v>
      </c>
      <c r="M13" s="133">
        <v>67500000</v>
      </c>
      <c r="N13" s="5" t="s">
        <v>291</v>
      </c>
    </row>
    <row r="14" spans="1:14" ht="29" x14ac:dyDescent="0.35">
      <c r="A14" s="1">
        <v>9</v>
      </c>
      <c r="B14" s="8" t="s">
        <v>213</v>
      </c>
      <c r="C14" s="8" t="s">
        <v>214</v>
      </c>
      <c r="D14" s="25" t="s">
        <v>18</v>
      </c>
      <c r="E14" s="8" t="s">
        <v>289</v>
      </c>
      <c r="F14" s="54" t="s">
        <v>290</v>
      </c>
      <c r="G14" s="25" t="s">
        <v>58</v>
      </c>
      <c r="H14" s="164"/>
      <c r="I14" s="5" t="s">
        <v>291</v>
      </c>
      <c r="J14" s="8"/>
      <c r="K14" s="54"/>
      <c r="L14" s="25" t="s">
        <v>58</v>
      </c>
      <c r="M14" s="164"/>
      <c r="N14" s="5" t="s">
        <v>291</v>
      </c>
    </row>
    <row r="15" spans="1:14" ht="29" x14ac:dyDescent="0.35">
      <c r="A15" s="1">
        <v>10</v>
      </c>
      <c r="B15" s="8" t="s">
        <v>215</v>
      </c>
      <c r="C15" s="8" t="s">
        <v>216</v>
      </c>
      <c r="D15" s="25" t="s">
        <v>18</v>
      </c>
      <c r="E15" s="8" t="s">
        <v>289</v>
      </c>
      <c r="F15" s="54" t="s">
        <v>290</v>
      </c>
      <c r="G15" s="25" t="s">
        <v>58</v>
      </c>
      <c r="H15" s="134"/>
      <c r="I15" s="5" t="s">
        <v>291</v>
      </c>
      <c r="J15" s="8"/>
      <c r="K15" s="54"/>
      <c r="L15" s="25" t="s">
        <v>58</v>
      </c>
      <c r="M15" s="134"/>
      <c r="N15" s="5" t="s">
        <v>291</v>
      </c>
    </row>
    <row r="16" spans="1:14" ht="14.5" x14ac:dyDescent="0.35">
      <c r="A16" s="1">
        <v>11</v>
      </c>
      <c r="B16" s="8" t="s">
        <v>217</v>
      </c>
      <c r="C16" s="8" t="s">
        <v>218</v>
      </c>
      <c r="D16" s="25" t="s">
        <v>18</v>
      </c>
      <c r="E16" s="8" t="s">
        <v>292</v>
      </c>
      <c r="F16" s="52" t="s">
        <v>141</v>
      </c>
      <c r="G16" s="25" t="s">
        <v>22</v>
      </c>
      <c r="H16" s="41">
        <v>52000000</v>
      </c>
      <c r="I16" s="7" t="s">
        <v>293</v>
      </c>
      <c r="J16" s="8"/>
      <c r="K16" s="52"/>
      <c r="L16" s="25" t="s">
        <v>22</v>
      </c>
      <c r="M16" s="41"/>
      <c r="N16" s="7" t="s">
        <v>276</v>
      </c>
    </row>
    <row r="17" spans="1:14" ht="14.5" x14ac:dyDescent="0.35">
      <c r="A17" s="1">
        <v>12</v>
      </c>
      <c r="B17" s="8" t="s">
        <v>219</v>
      </c>
      <c r="C17" s="8" t="s">
        <v>220</v>
      </c>
      <c r="D17" s="25" t="s">
        <v>89</v>
      </c>
      <c r="E17" s="52" t="s">
        <v>221</v>
      </c>
      <c r="F17" s="52" t="s">
        <v>45</v>
      </c>
      <c r="G17" s="25" t="s">
        <v>22</v>
      </c>
      <c r="H17" s="41">
        <v>70000000</v>
      </c>
      <c r="I17" s="7" t="s">
        <v>294</v>
      </c>
      <c r="J17" s="52"/>
      <c r="K17" s="52"/>
      <c r="L17" s="25" t="s">
        <v>22</v>
      </c>
      <c r="M17" s="41">
        <v>70000000</v>
      </c>
      <c r="N17" s="7" t="s">
        <v>295</v>
      </c>
    </row>
    <row r="18" spans="1:14" ht="72.5" x14ac:dyDescent="0.35">
      <c r="A18" s="9">
        <v>13</v>
      </c>
      <c r="B18" s="10" t="s">
        <v>222</v>
      </c>
      <c r="C18" s="10" t="s">
        <v>223</v>
      </c>
      <c r="D18" s="18" t="s">
        <v>89</v>
      </c>
      <c r="E18" s="12" t="s">
        <v>224</v>
      </c>
      <c r="F18" s="18" t="s">
        <v>230</v>
      </c>
      <c r="G18" s="6" t="s">
        <v>226</v>
      </c>
      <c r="H18" s="165">
        <v>38000000</v>
      </c>
      <c r="I18" s="7"/>
      <c r="J18" s="12" t="s">
        <v>224</v>
      </c>
      <c r="K18" s="18" t="s">
        <v>230</v>
      </c>
      <c r="L18" s="6" t="s">
        <v>226</v>
      </c>
      <c r="M18" s="165">
        <v>38000000</v>
      </c>
      <c r="N18" s="7"/>
    </row>
    <row r="19" spans="1:14" ht="72.5" x14ac:dyDescent="0.35">
      <c r="A19" s="9">
        <v>14</v>
      </c>
      <c r="B19" s="14" t="s">
        <v>228</v>
      </c>
      <c r="C19" s="10" t="s">
        <v>229</v>
      </c>
      <c r="D19" s="18" t="s">
        <v>89</v>
      </c>
      <c r="E19" s="12" t="s">
        <v>224</v>
      </c>
      <c r="F19" s="18" t="s">
        <v>230</v>
      </c>
      <c r="G19" s="6" t="s">
        <v>226</v>
      </c>
      <c r="H19" s="166"/>
      <c r="I19" s="7"/>
      <c r="J19" s="12" t="s">
        <v>224</v>
      </c>
      <c r="K19" s="18" t="s">
        <v>230</v>
      </c>
      <c r="L19" s="6" t="s">
        <v>226</v>
      </c>
      <c r="M19" s="166"/>
      <c r="N19" s="7"/>
    </row>
    <row r="20" spans="1:14" ht="21.65" customHeight="1" x14ac:dyDescent="0.35">
      <c r="A20" s="1">
        <v>15</v>
      </c>
      <c r="B20" s="8" t="s">
        <v>232</v>
      </c>
      <c r="C20" s="8" t="s">
        <v>233</v>
      </c>
      <c r="D20" s="9" t="s">
        <v>89</v>
      </c>
      <c r="E20" s="7" t="s">
        <v>234</v>
      </c>
      <c r="F20" s="7" t="s">
        <v>235</v>
      </c>
      <c r="G20" s="9" t="s">
        <v>236</v>
      </c>
      <c r="H20" s="55">
        <v>1000000000</v>
      </c>
      <c r="I20" s="7"/>
      <c r="J20" s="7" t="s">
        <v>234</v>
      </c>
      <c r="K20" s="7" t="s">
        <v>235</v>
      </c>
      <c r="L20" s="9" t="s">
        <v>236</v>
      </c>
      <c r="M20" s="55"/>
      <c r="N20" s="7"/>
    </row>
    <row r="21" spans="1:14" ht="20.5" customHeight="1" x14ac:dyDescent="0.35">
      <c r="G21" s="60" t="s">
        <v>262</v>
      </c>
      <c r="H21" s="56">
        <f>SUM(H6:H20)</f>
        <v>1251250000</v>
      </c>
      <c r="L21" s="60" t="s">
        <v>262</v>
      </c>
      <c r="M21" s="56">
        <f>SUM(M6:M20)</f>
        <v>175500000</v>
      </c>
    </row>
  </sheetData>
  <mergeCells count="8">
    <mergeCell ref="A1:G1"/>
    <mergeCell ref="H13:H15"/>
    <mergeCell ref="H18:H19"/>
    <mergeCell ref="A3:I3"/>
    <mergeCell ref="M13:M15"/>
    <mergeCell ref="M18:M19"/>
    <mergeCell ref="J4:N4"/>
    <mergeCell ref="E4:I4"/>
  </mergeCells>
  <printOptions horizontalCentered="1"/>
  <pageMargins left="0" right="0" top="0.25" bottom="0.25" header="0.3" footer="0.3"/>
  <pageSetup paperSize="9"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3734A52832DD4CA33F4B7D50A49F75" ma:contentTypeVersion="12" ma:contentTypeDescription="Create a new document." ma:contentTypeScope="" ma:versionID="0a324b20d5c71b353d796f025fc17170">
  <xsd:schema xmlns:xsd="http://www.w3.org/2001/XMLSchema" xmlns:xs="http://www.w3.org/2001/XMLSchema" xmlns:p="http://schemas.microsoft.com/office/2006/metadata/properties" xmlns:ns2="94ddc175-83d6-4297-8873-26a75083b220" xmlns:ns3="c786afe8-b9b6-426b-a33a-227151017cac" targetNamespace="http://schemas.microsoft.com/office/2006/metadata/properties" ma:root="true" ma:fieldsID="8cf9a5f30bd4ea1c70aafbf79d990cab" ns2:_="" ns3:_="">
    <xsd:import namespace="94ddc175-83d6-4297-8873-26a75083b220"/>
    <xsd:import namespace="c786afe8-b9b6-426b-a33a-227151017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dc175-83d6-4297-8873-26a75083b2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18d070-d68a-44a9-9e7c-09434a3fc8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6afe8-b9b6-426b-a33a-227151017ca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d58227-1950-4580-89ae-bf03d6de5dff}" ma:internalName="TaxCatchAll" ma:showField="CatchAllData" ma:web="c786afe8-b9b6-426b-a33a-227151017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ddc175-83d6-4297-8873-26a75083b220">
      <Terms xmlns="http://schemas.microsoft.com/office/infopath/2007/PartnerControls"/>
    </lcf76f155ced4ddcb4097134ff3c332f>
    <TaxCatchAll xmlns="c786afe8-b9b6-426b-a33a-227151017cac" xsi:nil="true"/>
  </documentManagement>
</p:properties>
</file>

<file path=customXml/itemProps1.xml><?xml version="1.0" encoding="utf-8"?>
<ds:datastoreItem xmlns:ds="http://schemas.openxmlformats.org/officeDocument/2006/customXml" ds:itemID="{BCD7138A-A723-4F34-A00D-383C396041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ddc175-83d6-4297-8873-26a75083b220"/>
    <ds:schemaRef ds:uri="c786afe8-b9b6-426b-a33a-227151017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2F4503-0AB9-484D-B7A1-0BF3E38B04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7165C-FA14-42CC-A10D-6FC9712836AA}">
  <ds:schemaRefs>
    <ds:schemaRef ds:uri="http://purl.org/dc/dcmitype/"/>
    <ds:schemaRef ds:uri="http://schemas.microsoft.com/office/2006/documentManagement/types"/>
    <ds:schemaRef ds:uri="c786afe8-b9b6-426b-a33a-227151017cac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4ddc175-83d6-4297-8873-26a75083b22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Rekap</vt:lpstr>
      <vt:lpstr>Izin AI - Sunter</vt:lpstr>
      <vt:lpstr>Izin BSD</vt:lpstr>
      <vt:lpstr>Izin Bandung</vt:lpstr>
      <vt:lpstr>'Izin AI - Sunter'!Print_Area</vt:lpstr>
      <vt:lpstr>'Izin Bandung'!Print_Area</vt:lpstr>
      <vt:lpstr>'Izin BSD'!Print_Area</vt:lpstr>
      <vt:lpstr>Rekap!Print_Area</vt:lpstr>
    </vt:vector>
  </TitlesOfParts>
  <Manager/>
  <Company>Astra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mesendan8039</dc:creator>
  <cp:keywords/>
  <dc:description/>
  <cp:lastModifiedBy>Sudana Visudha</cp:lastModifiedBy>
  <cp:revision/>
  <dcterms:created xsi:type="dcterms:W3CDTF">2019-08-07T03:58:51Z</dcterms:created>
  <dcterms:modified xsi:type="dcterms:W3CDTF">2026-08-06T01:42:59Z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8d462-42cc-4ffe-841e-377ea32349cf_Enabled">
    <vt:lpwstr>true</vt:lpwstr>
  </property>
  <property fmtid="{D5CDD505-2E9C-101B-9397-08002B2CF9AE}" pid="3" name="MSIP_Label_0328d462-42cc-4ffe-841e-377ea32349cf_SetDate">
    <vt:lpwstr>2024-01-17T01:38:15Z</vt:lpwstr>
  </property>
  <property fmtid="{D5CDD505-2E9C-101B-9397-08002B2CF9AE}" pid="4" name="MSIP_Label_0328d462-42cc-4ffe-841e-377ea32349cf_Method">
    <vt:lpwstr>Privileged</vt:lpwstr>
  </property>
  <property fmtid="{D5CDD505-2E9C-101B-9397-08002B2CF9AE}" pid="5" name="MSIP_Label_0328d462-42cc-4ffe-841e-377ea32349cf_Name">
    <vt:lpwstr>PUBLIC</vt:lpwstr>
  </property>
  <property fmtid="{D5CDD505-2E9C-101B-9397-08002B2CF9AE}" pid="6" name="MSIP_Label_0328d462-42cc-4ffe-841e-377ea32349cf_SiteId">
    <vt:lpwstr>5a0b86e1-3af7-4d16-a63e-afe55beab795</vt:lpwstr>
  </property>
  <property fmtid="{D5CDD505-2E9C-101B-9397-08002B2CF9AE}" pid="7" name="MSIP_Label_0328d462-42cc-4ffe-841e-377ea32349cf_ActionId">
    <vt:lpwstr>7db6d7e2-cedf-4d80-84ff-a6511dc8f028</vt:lpwstr>
  </property>
  <property fmtid="{D5CDD505-2E9C-101B-9397-08002B2CF9AE}" pid="8" name="MSIP_Label_0328d462-42cc-4ffe-841e-377ea32349cf_ContentBits">
    <vt:lpwstr>0</vt:lpwstr>
  </property>
  <property fmtid="{D5CDD505-2E9C-101B-9397-08002B2CF9AE}" pid="9" name="ContentTypeId">
    <vt:lpwstr>0x0101004A3734A52832DD4CA33F4B7D50A49F75</vt:lpwstr>
  </property>
  <property fmtid="{D5CDD505-2E9C-101B-9397-08002B2CF9AE}" pid="10" name="MediaServiceImageTags">
    <vt:lpwstr/>
  </property>
</Properties>
</file>